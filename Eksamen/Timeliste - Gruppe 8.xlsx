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filterPrivacy="1" codeName="ThisWorkbook"/>
  <xr:revisionPtr revIDLastSave="1106" documentId="8_{CD9AA8BA-F51A-DF44-9B87-A5E41DBF7BE6}" xr6:coauthVersionLast="47" xr6:coauthVersionMax="47" xr10:uidLastSave="{FE080943-36DC-184C-A4F5-B81D81C97933}"/>
  <bookViews>
    <workbookView xWindow="0" yWindow="500" windowWidth="18620" windowHeight="16160" activeTab="3" xr2:uid="{00000000-000D-0000-FFFF-FFFF00000000}"/>
  </bookViews>
  <sheets>
    <sheet name="Gruppemedlem 1" sheetId="1" r:id="rId1"/>
    <sheet name="Gruppemedlem 2" sheetId="4" r:id="rId2"/>
    <sheet name="Gruppemedlem 3" sheetId="5" r:id="rId3"/>
    <sheet name="Gruppemedlem 4" sheetId="3" r:id="rId4"/>
    <sheet name="Gruppemedlem 5" sheetId="2" r:id="rId5"/>
    <sheet name="Total" sheetId="6" r:id="rId6"/>
    <sheet name="DroppdownTable" sheetId="8" r:id="rId7"/>
  </sheets>
  <definedNames>
    <definedName name="ArbeidsukeTimer">'Gruppemedlem 1'!$B$4</definedName>
    <definedName name="Kolonnetittel1">#REF!</definedName>
    <definedName name="KolonnetittelOmråde1..E6.1">'Gruppemedlem 1'!$B$3</definedName>
    <definedName name="_xlnm.Print_Titles" localSheetId="0">'Gruppemedlem 1'!$5:$5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" l="1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C4" i="2"/>
  <c r="B6" i="6" s="1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C4" i="3"/>
  <c r="B5" i="6" s="1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C4" i="5"/>
  <c r="B4" i="6" s="1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C4" i="4"/>
  <c r="J12" i="1"/>
  <c r="I12" i="1"/>
  <c r="J15" i="1"/>
  <c r="J11" i="1"/>
  <c r="I15" i="1"/>
  <c r="I11" i="1"/>
  <c r="J14" i="1"/>
  <c r="I14" i="1"/>
  <c r="J13" i="1"/>
  <c r="I13" i="1"/>
  <c r="J10" i="1"/>
  <c r="I10" i="1"/>
  <c r="J9" i="1"/>
  <c r="I9" i="1"/>
  <c r="J8" i="1"/>
  <c r="I8" i="1"/>
  <c r="J7" i="1"/>
  <c r="I7" i="1"/>
  <c r="J6" i="1"/>
  <c r="I6" i="1"/>
  <c r="C4" i="1"/>
  <c r="B2" i="6" s="1"/>
  <c r="A5" i="6"/>
  <c r="A4" i="6"/>
  <c r="A3" i="6"/>
  <c r="A2" i="6"/>
  <c r="K6" i="2" l="1"/>
  <c r="K7" i="2"/>
  <c r="K9" i="2"/>
  <c r="K10" i="2"/>
  <c r="K11" i="2"/>
  <c r="K12" i="2"/>
  <c r="K13" i="2"/>
  <c r="K14" i="2"/>
  <c r="K15" i="2"/>
  <c r="K14" i="5"/>
  <c r="K15" i="5"/>
  <c r="K11" i="5"/>
  <c r="K8" i="5"/>
  <c r="K13" i="5"/>
  <c r="K6" i="5"/>
  <c r="K10" i="5"/>
  <c r="K12" i="5"/>
  <c r="K7" i="5"/>
  <c r="K9" i="5"/>
  <c r="B3" i="6"/>
  <c r="B7" i="6" s="1"/>
  <c r="K6" i="4"/>
  <c r="K7" i="4"/>
  <c r="K8" i="4"/>
  <c r="K9" i="4"/>
  <c r="K10" i="4"/>
  <c r="K11" i="4"/>
  <c r="K12" i="4"/>
  <c r="K13" i="4"/>
  <c r="K14" i="4"/>
  <c r="K15" i="4"/>
  <c r="K11" i="1"/>
  <c r="K9" i="1"/>
  <c r="K15" i="1"/>
  <c r="K14" i="1"/>
  <c r="K10" i="1"/>
  <c r="K7" i="1"/>
  <c r="K6" i="1"/>
  <c r="K13" i="1"/>
  <c r="K12" i="1"/>
  <c r="K8" i="1"/>
  <c r="K7" i="3"/>
  <c r="K11" i="3"/>
  <c r="K15" i="3"/>
  <c r="K8" i="3"/>
  <c r="K13" i="3"/>
  <c r="K12" i="3"/>
  <c r="K9" i="3"/>
  <c r="K14" i="3"/>
  <c r="K6" i="3"/>
  <c r="K10" i="3"/>
  <c r="K8" i="2"/>
</calcChain>
</file>

<file path=xl/sharedStrings.xml><?xml version="1.0" encoding="utf-8"?>
<sst xmlns="http://schemas.openxmlformats.org/spreadsheetml/2006/main" count="720" uniqueCount="121">
  <si>
    <t>Timeliste</t>
  </si>
  <si>
    <t>Navn</t>
  </si>
  <si>
    <t>Jimmy Bui</t>
  </si>
  <si>
    <t>Totalt antall
arbeidstimer</t>
  </si>
  <si>
    <t>Dato(er)</t>
  </si>
  <si>
    <t>Antall arbeidstimer</t>
  </si>
  <si>
    <t>Kommentar</t>
  </si>
  <si>
    <t>Tagg</t>
  </si>
  <si>
    <t>Oppgave Tag</t>
  </si>
  <si>
    <t>Antall oppføringer</t>
  </si>
  <si>
    <t>Timer arbeid med oppgave</t>
  </si>
  <si>
    <t>%</t>
  </si>
  <si>
    <t>Forelesning/WS</t>
  </si>
  <si>
    <t>Programmering</t>
  </si>
  <si>
    <t>Raport</t>
  </si>
  <si>
    <t>Møte</t>
  </si>
  <si>
    <t>Database</t>
  </si>
  <si>
    <t>GitHub</t>
  </si>
  <si>
    <t>Administrativt</t>
  </si>
  <si>
    <t>Veiledning</t>
  </si>
  <si>
    <t>Design</t>
  </si>
  <si>
    <t>Annet</t>
  </si>
  <si>
    <t>Jobbet med å finne ut hvordan man implementerer login/registrering</t>
  </si>
  <si>
    <t>Jobbet med sprint. Implementering av autentisering</t>
  </si>
  <si>
    <t>Jobbet med sprint. Ferdig implementert av autentisering</t>
  </si>
  <si>
    <t>Workshop</t>
  </si>
  <si>
    <t xml:space="preserve">Sprint 2. Arbeidet med Brukerautentisering og roller. </t>
  </si>
  <si>
    <t>Sprint 2.</t>
  </si>
  <si>
    <t>Sprint 2</t>
  </si>
  <si>
    <t>Sprint 2. Bruker autentisering og rollesystem</t>
  </si>
  <si>
    <t xml:space="preserve">Rapport for oblig 5. </t>
  </si>
  <si>
    <t>Research av API</t>
  </si>
  <si>
    <t>Lage API-er</t>
  </si>
  <si>
    <t>Gruppemøte</t>
  </si>
  <si>
    <t>Rapport skriving</t>
  </si>
  <si>
    <t xml:space="preserve">CSS </t>
  </si>
  <si>
    <t>CSS</t>
  </si>
  <si>
    <t xml:space="preserve">Rapport </t>
  </si>
  <si>
    <t>Dato</t>
  </si>
  <si>
    <t>Simen Kingsrød</t>
  </si>
  <si>
    <t>Jobbet med ruteplanlegger og testing av API.</t>
  </si>
  <si>
    <t>Research: Satt meg inn i hvordan REST API fungerer i Spring Boot.</t>
  </si>
  <si>
    <t>Designe ny innlogginsside for desktop og mobil.</t>
  </si>
  <si>
    <t>Plukke opp css igjen og undersøke oppsett av de ulike sidene</t>
  </si>
  <si>
    <t>Design av hjem-side</t>
  </si>
  <si>
    <t>Philip André Gaulin</t>
  </si>
  <si>
    <t>Startet med research for hvordan jeg skulle skrive kravspec hva jeg må tenke på for å faktisk levere et produkt kan brukes</t>
  </si>
  <si>
    <t>Brukte mye tid på å finne ut av hvilke språk vi skulle bruke til frontend og backaned og hvordan alt dette skulle fungere sammen.</t>
  </si>
  <si>
    <t>startet med å sette opp en liste struktur for kravspecen. og samlet inn informasjon om fremgangsmåter</t>
  </si>
  <si>
    <t xml:space="preserve">fullførte innsaming av informasjon og forståelse av hva som trengtes i appen og satt opp prioritert basert på det. </t>
  </si>
  <si>
    <t xml:space="preserve">Finne ut av Hvordan jeg skal sette opp strukturen for github repo og finne ut av hvordan regler jeg skal sette opp. </t>
  </si>
  <si>
    <t>Dele github med alle som trenger tilgang og skrive litt om metodikken til hvordan github skal fungerer for oss i overleaf. Teste branches med main dev og futures.</t>
  </si>
  <si>
    <t>satt opp sprint 2 og har holdt på med backend på server siden, mer spesifikt database oppsett og automatisert av pulls fra github</t>
  </si>
  <si>
    <t xml:space="preserve">Feilsøke reverse proxy problemer med java og itstud server. testet flere måter å få apien til å svare på riktig path. Oppdaterte </t>
  </si>
  <si>
    <t>feilsøke og sette opp shellscripts for automatisering</t>
  </si>
  <si>
    <t>Feilsøke hvorfor frontend og backenden ikke ville kommunisere. (fortsatt nginx)</t>
  </si>
  <si>
    <t>Startet på bilettering system</t>
  </si>
  <si>
    <t>Erica Bich Che</t>
  </si>
  <si>
    <t>Endret på rapporten etter tilbakemelding fra oblig 2</t>
  </si>
  <si>
    <t>Installert postgreSQL og gjort research</t>
  </si>
  <si>
    <t>Rapport til Oblig 4</t>
  </si>
  <si>
    <t>ER-diagram til database</t>
  </si>
  <si>
    <t>Opprettelse av database</t>
  </si>
  <si>
    <t>Database Dummydata</t>
  </si>
  <si>
    <t>Gjennomgang og planlegging</t>
  </si>
  <si>
    <t>Rapport for sprint 2 og 3</t>
  </si>
  <si>
    <t>Rapport til oblig 5</t>
  </si>
  <si>
    <t>Research til frontend</t>
  </si>
  <si>
    <t>Wireframe</t>
  </si>
  <si>
    <t>Diskutere fremgang og tidsestemat</t>
  </si>
  <si>
    <t>Reise og billett side</t>
  </si>
  <si>
    <t>JS</t>
  </si>
  <si>
    <t>Billett og profil side</t>
  </si>
  <si>
    <t>Mohamed Abdullahi Mahamed</t>
  </si>
  <si>
    <t>WorkShop</t>
  </si>
  <si>
    <t>Forelesning</t>
  </si>
  <si>
    <t>research av piplines</t>
  </si>
  <si>
    <t>research av gitub</t>
  </si>
  <si>
    <t>research av pipelines</t>
  </si>
  <si>
    <t>reseach av github</t>
  </si>
  <si>
    <t>fikk veiledning av en person fra en annen gruppe om hvilken metode som er best for å få fram sanntid</t>
  </si>
  <si>
    <t>videre research på hvordan man bruker en-tur api og litt testing</t>
  </si>
  <si>
    <t>programmering av sanntidsdata</t>
  </si>
  <si>
    <t>videre programmering sv sanntids data og begynt på søkefunksjon</t>
  </si>
  <si>
    <t>ferdig gjørelse av søkefunksjon og enkel html side</t>
  </si>
  <si>
    <t>finjustering og pushin</t>
  </si>
  <si>
    <t>rapport oblig 5</t>
  </si>
  <si>
    <t>Timer</t>
  </si>
  <si>
    <t>Total</t>
  </si>
  <si>
    <t>HTML og CSS for profil side</t>
  </si>
  <si>
    <t>Research til JS for engelsk oversettelse</t>
  </si>
  <si>
    <t>HTML og CSS</t>
  </si>
  <si>
    <t>Ryddet i HTML, CSS og JS filene</t>
  </si>
  <si>
    <t>JS (og litt HTML og CSS) for engelsk versjon av app</t>
  </si>
  <si>
    <t>Tilbakemelding på rapport</t>
  </si>
  <si>
    <t>23-27.10.25</t>
  </si>
  <si>
    <t>Fortsatt arbeid med nginx-konfigurasjon, CORS-problemer og deployment-pipeline</t>
  </si>
  <si>
    <t>Implementert JWT autentisering, Spring Security config og sikker innloggingsflyt</t>
  </si>
  <si>
    <t>Videreutvikling av backend arkitektur, repository-lag og service-lag</t>
  </si>
  <si>
    <t>PostgreSQL-integrasjon, Flyway migrations og database-skjema</t>
  </si>
  <si>
    <t>5-6.11.25</t>
  </si>
  <si>
    <t>Brukerregistrering med BCrypt, refaktorering og API-testing</t>
  </si>
  <si>
    <t>7-8.11.25</t>
  </si>
  <si>
    <t>Databasemodell (ER-diagram), seed-data og SQL-verifisering</t>
  </si>
  <si>
    <t>Billettkjøp/historikk, gjestebruker, QR-kode generering, admin dashboard</t>
  </si>
  <si>
    <t>Database-skjema refaktorering, unified schema.sql og dokumentasjon</t>
  </si>
  <si>
    <t>Code review, opprydding, fjernet ubrukte imports og dokumentasjon</t>
  </si>
  <si>
    <t>12-15.11.25</t>
  </si>
  <si>
    <t>Backend til PostgreSQL kobling, JPA/Hibernate config</t>
  </si>
  <si>
    <t>16-18.11.25</t>
  </si>
  <si>
    <t>Repository-klasser, service-lag og REST API-utvidelser</t>
  </si>
  <si>
    <t>Merge main branch, implementering og kjøring av unit tests</t>
  </si>
  <si>
    <t xml:space="preserve">Skrive rapport </t>
  </si>
  <si>
    <t>Ferdigstilling av rapport, testing dokumentasjon og innlevering</t>
  </si>
  <si>
    <t>jobbe med sanntids</t>
  </si>
  <si>
    <t>forbedringer/optimaliseringer</t>
  </si>
  <si>
    <t>rapport</t>
  </si>
  <si>
    <t>finjustering av rapport</t>
  </si>
  <si>
    <t>Rapport</t>
  </si>
  <si>
    <t xml:space="preserve">Koble backend mot databasen.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</si>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</sst>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(* #,##0_);_(* \(#,##0\);_(* &quot;-&quot;_);_(@_)"/>
    <numFmt numFmtId="43" formatCode="_(* #,##0.00_);_(* \(#,##0.00\);_(* &quot;-&quot;??_);_(@_)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d/m/yy;@"/>
    <numFmt numFmtId="167" formatCode="hh:mm;@"/>
    <numFmt numFmtId="168" formatCode="#,##0.00_ ;\-#,##0.00\ "/>
    <numFmt numFmtId="169" formatCode="[&lt;=99999999]##_ ##_ ##_ ##;\(\+##\)_ ##_ ##_ ##_ ##"/>
    <numFmt numFmtId="170" formatCode="0.0"/>
  </numFmts>
  <fonts count="21" x14ac:knownFonts="1">
    <font>
      <sz val="11"/>
      <color theme="1"/>
      <name val="Calibri"/>
      <family val="2"/>
      <scheme val="minor"/>
    </font>
    <font>
      <sz val="24"/>
      <color theme="4"/>
      <name val="Calibri"/>
      <family val="2"/>
      <scheme val="major"/>
    </font>
    <font>
      <sz val="12"/>
      <color theme="4"/>
      <name val="Calibri"/>
      <family val="2"/>
      <scheme val="major"/>
    </font>
    <font>
      <sz val="16"/>
      <color theme="5"/>
      <name val="Calibri"/>
      <family val="2"/>
      <scheme val="major"/>
    </font>
    <font>
      <sz val="20"/>
      <color theme="4"/>
      <name val="Calibri"/>
      <family val="2"/>
      <scheme val="minor"/>
    </font>
    <font>
      <sz val="11"/>
      <color theme="5"/>
      <name val="Calibri"/>
      <family val="2"/>
      <scheme val="maj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>
      <alignment horizontal="left"/>
    </xf>
    <xf numFmtId="0" fontId="1" fillId="2" borderId="1" applyNumberFormat="0" applyProtection="0">
      <alignment horizontal="left"/>
    </xf>
    <xf numFmtId="0" fontId="2" fillId="0" borderId="0" applyNumberFormat="0" applyFill="0" applyBorder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Fill="0" applyBorder="0" applyProtection="0">
      <alignment wrapText="1"/>
    </xf>
    <xf numFmtId="168" fontId="4" fillId="0" borderId="0" applyFill="0" applyBorder="0" applyProtection="0">
      <alignment horizontal="left"/>
    </xf>
    <xf numFmtId="166" fontId="6" fillId="0" borderId="0" applyFont="0" applyFill="0" applyBorder="0" applyAlignment="0">
      <alignment horizontal="left"/>
    </xf>
    <xf numFmtId="4" fontId="6" fillId="0" borderId="0" applyFont="0" applyFill="0" applyBorder="0" applyAlignment="0">
      <alignment horizontal="left"/>
    </xf>
    <xf numFmtId="167" fontId="6" fillId="0" borderId="0" applyFont="0" applyFill="0" applyBorder="0" applyAlignment="0">
      <alignment horizontal="left"/>
    </xf>
    <xf numFmtId="169" fontId="6" fillId="0" borderId="0" applyFont="0" applyFill="0" applyBorder="0" applyAlignment="0">
      <alignment horizontal="left"/>
    </xf>
    <xf numFmtId="0" fontId="6" fillId="0" borderId="0" applyNumberFormat="0" applyFill="0" applyBorder="0" applyProtection="0">
      <alignment horizontal="left" wrapText="1"/>
    </xf>
    <xf numFmtId="0" fontId="6" fillId="0" borderId="0" applyNumberFormat="0" applyFill="0" applyBorder="0" applyProtection="0">
      <alignment horizontal="left" wrapText="1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2" applyNumberFormat="0" applyAlignment="0" applyProtection="0"/>
    <xf numFmtId="0" fontId="11" fillId="7" borderId="3" applyNumberFormat="0" applyAlignment="0" applyProtection="0"/>
    <xf numFmtId="0" fontId="12" fillId="7" borderId="2" applyNumberFormat="0" applyAlignment="0" applyProtection="0"/>
    <xf numFmtId="0" fontId="13" fillId="0" borderId="4" applyNumberFormat="0" applyFill="0" applyAlignment="0" applyProtection="0"/>
    <xf numFmtId="0" fontId="14" fillId="8" borderId="5" applyNumberFormat="0" applyAlignment="0" applyProtection="0"/>
    <xf numFmtId="0" fontId="15" fillId="0" borderId="0" applyNumberFormat="0" applyFill="0" applyBorder="0" applyAlignment="0" applyProtection="0"/>
    <xf numFmtId="0" fontId="6" fillId="9" borderId="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8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8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8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8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8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34">
    <xf numFmtId="0" fontId="0" fillId="0" borderId="0" xfId="0">
      <alignment horizontal="left"/>
    </xf>
    <xf numFmtId="0" fontId="1" fillId="2" borderId="1" xfId="1">
      <alignment horizontal="left"/>
    </xf>
    <xf numFmtId="168" fontId="4" fillId="0" borderId="0" xfId="5">
      <alignment horizontal="left"/>
    </xf>
    <xf numFmtId="166" fontId="0" fillId="0" borderId="0" xfId="6" applyFont="1" applyFill="1" applyBorder="1">
      <alignment horizontal="left"/>
    </xf>
    <xf numFmtId="4" fontId="0" fillId="0" borderId="0" xfId="7" applyFont="1" applyFill="1" applyBorder="1">
      <alignment horizontal="left"/>
    </xf>
    <xf numFmtId="0" fontId="2" fillId="0" borderId="8" xfId="2" applyBorder="1">
      <alignment wrapText="1"/>
    </xf>
    <xf numFmtId="0" fontId="2" fillId="0" borderId="9" xfId="2" applyBorder="1">
      <alignment wrapText="1"/>
    </xf>
    <xf numFmtId="168" fontId="4" fillId="0" borderId="10" xfId="5" applyBorder="1">
      <alignment horizontal="left"/>
    </xf>
    <xf numFmtId="0" fontId="19" fillId="0" borderId="11" xfId="0" applyFont="1" applyBorder="1">
      <alignment horizontal="left"/>
    </xf>
    <xf numFmtId="0" fontId="19" fillId="0" borderId="13" xfId="0" applyFont="1" applyBorder="1">
      <alignment horizontal="left"/>
    </xf>
    <xf numFmtId="0" fontId="19" fillId="0" borderId="14" xfId="0" applyFont="1" applyBorder="1">
      <alignment horizontal="left"/>
    </xf>
    <xf numFmtId="0" fontId="0" fillId="34" borderId="0" xfId="0" applyFill="1">
      <alignment horizontal="left"/>
    </xf>
    <xf numFmtId="0" fontId="0" fillId="35" borderId="0" xfId="0" applyFill="1">
      <alignment horizontal="left"/>
    </xf>
    <xf numFmtId="0" fontId="0" fillId="36" borderId="0" xfId="0" applyFill="1">
      <alignment horizontal="left"/>
    </xf>
    <xf numFmtId="0" fontId="0" fillId="37" borderId="0" xfId="0" applyFill="1">
      <alignment horizontal="left"/>
    </xf>
    <xf numFmtId="0" fontId="0" fillId="38" borderId="0" xfId="0" applyFill="1">
      <alignment horizontal="left"/>
    </xf>
    <xf numFmtId="0" fontId="20" fillId="0" borderId="11" xfId="0" applyFont="1" applyBorder="1">
      <alignment horizontal="left"/>
    </xf>
    <xf numFmtId="0" fontId="20" fillId="0" borderId="12" xfId="0" applyFont="1" applyBorder="1">
      <alignment horizontal="left"/>
    </xf>
    <xf numFmtId="0" fontId="0" fillId="40" borderId="0" xfId="0" applyFill="1">
      <alignment horizontal="left"/>
    </xf>
    <xf numFmtId="0" fontId="0" fillId="41" borderId="0" xfId="0" applyFill="1">
      <alignment horizontal="left"/>
    </xf>
    <xf numFmtId="0" fontId="0" fillId="42" borderId="0" xfId="0" applyFill="1">
      <alignment horizontal="left"/>
    </xf>
    <xf numFmtId="0" fontId="0" fillId="43" borderId="0" xfId="0" applyFill="1">
      <alignment horizontal="left"/>
    </xf>
    <xf numFmtId="0" fontId="0" fillId="39" borderId="15" xfId="0" applyFill="1" applyBorder="1">
      <alignment horizontal="left"/>
    </xf>
    <xf numFmtId="0" fontId="0" fillId="38" borderId="15" xfId="0" applyFill="1" applyBorder="1">
      <alignment horizontal="left"/>
    </xf>
    <xf numFmtId="0" fontId="0" fillId="0" borderId="15" xfId="0" applyBorder="1">
      <alignment horizontal="left"/>
    </xf>
    <xf numFmtId="170" fontId="0" fillId="0" borderId="15" xfId="0" applyNumberFormat="1" applyBorder="1">
      <alignment horizontal="left"/>
    </xf>
    <xf numFmtId="0" fontId="0" fillId="40" borderId="15" xfId="0" applyFill="1" applyBorder="1">
      <alignment horizontal="left"/>
    </xf>
    <xf numFmtId="0" fontId="0" fillId="41" borderId="15" xfId="0" applyFill="1" applyBorder="1">
      <alignment horizontal="left"/>
    </xf>
    <xf numFmtId="0" fontId="0" fillId="34" borderId="15" xfId="0" applyFill="1" applyBorder="1">
      <alignment horizontal="left"/>
    </xf>
    <xf numFmtId="0" fontId="0" fillId="42" borderId="15" xfId="0" applyFill="1" applyBorder="1">
      <alignment horizontal="left"/>
    </xf>
    <xf numFmtId="0" fontId="0" fillId="35" borderId="15" xfId="0" applyFill="1" applyBorder="1">
      <alignment horizontal="left"/>
    </xf>
    <xf numFmtId="0" fontId="0" fillId="36" borderId="15" xfId="0" applyFill="1" applyBorder="1">
      <alignment horizontal="left"/>
    </xf>
    <xf numFmtId="0" fontId="0" fillId="43" borderId="15" xfId="0" applyFill="1" applyBorder="1">
      <alignment horizontal="left"/>
    </xf>
    <xf numFmtId="0" fontId="0" fillId="37" borderId="15" xfId="0" applyFill="1" applyBorder="1">
      <alignment horizontal="left"/>
    </xf>
  </cellXfs>
  <cellStyles count="53">
    <cellStyle name="20 % – uthevingsfarge 1" xfId="30" builtinId="30" customBuiltin="1"/>
    <cellStyle name="20 % – uthevingsfarge 2" xfId="34" builtinId="34" customBuiltin="1"/>
    <cellStyle name="20 % – uthevingsfarge 3" xfId="38" builtinId="38" customBuiltin="1"/>
    <cellStyle name="20 % – uthevingsfarge 4" xfId="42" builtinId="42" customBuiltin="1"/>
    <cellStyle name="20 % – uthevingsfarge 5" xfId="46" builtinId="46" customBuiltin="1"/>
    <cellStyle name="20 % – uthevingsfarge 6" xfId="50" builtinId="50" customBuiltin="1"/>
    <cellStyle name="40 % – uthevingsfarge 1" xfId="31" builtinId="31" customBuiltin="1"/>
    <cellStyle name="40 % – uthevingsfarge 2" xfId="35" builtinId="35" customBuiltin="1"/>
    <cellStyle name="40 % – uthevingsfarge 3" xfId="39" builtinId="39" customBuiltin="1"/>
    <cellStyle name="40 % – uthevingsfarge 4" xfId="43" builtinId="43" customBuiltin="1"/>
    <cellStyle name="40 % – uthevingsfarge 5" xfId="47" builtinId="47" customBuiltin="1"/>
    <cellStyle name="40 % – uthevingsfarge 6" xfId="51" builtinId="51" customBuiltin="1"/>
    <cellStyle name="60 % – uthevingsfarge 1" xfId="32" builtinId="32" customBuiltin="1"/>
    <cellStyle name="60 % – uthevingsfarge 2" xfId="36" builtinId="36" customBuiltin="1"/>
    <cellStyle name="60 % – uthevingsfarge 3" xfId="40" builtinId="40" customBuiltin="1"/>
    <cellStyle name="60 % – uthevingsfarge 4" xfId="44" builtinId="44" customBuiltin="1"/>
    <cellStyle name="60 % – uthevingsfarge 5" xfId="48" builtinId="48" customBuiltin="1"/>
    <cellStyle name="60 % – uthevingsfarge 6" xfId="52" builtinId="52" customBuiltin="1"/>
    <cellStyle name="Benyttet hyperkobling" xfId="11" builtinId="9" customBuiltin="1"/>
    <cellStyle name="Beregning" xfId="22" builtinId="22" customBuiltin="1"/>
    <cellStyle name="Dato" xfId="6" xr:uid="{00000000-0005-0000-0000-00001F000000}"/>
    <cellStyle name="Dårlig" xfId="18" builtinId="27" customBuiltin="1"/>
    <cellStyle name="Forklarende tekst" xfId="27" builtinId="53" customBuiltin="1"/>
    <cellStyle name="God" xfId="17" builtinId="26" customBuiltin="1"/>
    <cellStyle name="Hyperkobling" xfId="10" builtinId="8" customBuiltin="1"/>
    <cellStyle name="Inndata" xfId="20" builtinId="20" customBuiltin="1"/>
    <cellStyle name="Koblet celle" xfId="23" builtinId="24" customBuiltin="1"/>
    <cellStyle name="Komma" xfId="12" builtinId="3" customBuiltin="1"/>
    <cellStyle name="Kontrollcelle" xfId="24" builtinId="23" customBuiltin="1"/>
    <cellStyle name="Merknad" xfId="26" builtinId="10" customBuiltin="1"/>
    <cellStyle name="Normal" xfId="0" builtinId="0" customBuiltin="1"/>
    <cellStyle name="Nøytral" xfId="19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Prosent" xfId="16" builtinId="5" customBuiltin="1"/>
    <cellStyle name="Telefonnummer" xfId="9" xr:uid="{00000000-0005-0000-0000-00002F000000}"/>
    <cellStyle name="Tidspunkt" xfId="8" xr:uid="{00000000-0005-0000-0000-000030000000}"/>
    <cellStyle name="Timer" xfId="7" xr:uid="{00000000-0005-0000-0000-000031000000}"/>
    <cellStyle name="Tittel" xfId="1" builtinId="15" customBuiltin="1"/>
    <cellStyle name="Totalt" xfId="28" builtinId="25" customBuiltin="1"/>
    <cellStyle name="Tusenskille [0]" xfId="13" builtinId="6" customBuiltin="1"/>
    <cellStyle name="Utdata" xfId="21" builtinId="21" customBuiltin="1"/>
    <cellStyle name="Uthevingsfarge1" xfId="29" builtinId="29" customBuiltin="1"/>
    <cellStyle name="Uthevingsfarge2" xfId="33" builtinId="33" customBuiltin="1"/>
    <cellStyle name="Uthevingsfarge3" xfId="37" builtinId="37" customBuiltin="1"/>
    <cellStyle name="Uthevingsfarge4" xfId="41" builtinId="41" customBuiltin="1"/>
    <cellStyle name="Uthevingsfarge5" xfId="45" builtinId="45" customBuiltin="1"/>
    <cellStyle name="Uthevingsfarge6" xfId="49" builtinId="49" customBuiltin="1"/>
    <cellStyle name="Valuta" xfId="14" builtinId="4" customBuiltin="1"/>
    <cellStyle name="Valuta [0]" xfId="15" builtinId="7" customBuiltin="1"/>
    <cellStyle name="Varseltekst" xfId="25" builtinId="11" customBuiltin="1"/>
  </cellStyles>
  <dxfs count="4">
    <dxf>
      <border>
        <top style="thin">
          <color theme="2" tint="-0.24994659260841701"/>
        </top>
      </border>
    </dxf>
    <dxf>
      <border>
        <top style="thin">
          <color theme="2" tint="-0.24994659260841701"/>
        </top>
      </border>
    </dxf>
    <dxf>
      <font>
        <color theme="5"/>
      </font>
      <border>
        <bottom style="medium">
          <color theme="2" tint="-0.499984740745262"/>
        </bottom>
      </border>
    </dxf>
    <dxf>
      <font>
        <color theme="4"/>
      </font>
      <fill>
        <patternFill patternType="none">
          <bgColor auto="1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</dxfs>
  <tableStyles count="1" defaultTableStyle="Timeliste" defaultPivotStyle="PivotStyleLight16">
    <tableStyle name="Timeliste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colors>
    <mruColors>
      <color rgb="FFCC7EC2"/>
      <color rgb="FFD498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F7908C-77B6-4F6C-A9CD-A2CC12552A30}" name="Timeliste57" displayName="Timeliste57" ref="B5:E100" totalsRowShown="0">
  <autoFilter ref="B5:E100" xr:uid="{C6F7908C-77B6-4F6C-A9CD-A2CC12552A30}"/>
  <tableColumns count="4">
    <tableColumn id="1" xr3:uid="{05F69C94-3C84-4601-B691-4405060C7E90}" name="Dato(er)" dataCellStyle="Dato"/>
    <tableColumn id="6" xr3:uid="{ADCEC767-2D7E-4346-A67B-821B03C29AAC}" name="Antall arbeidstimer" dataCellStyle="Timer"/>
    <tableColumn id="2" xr3:uid="{3428E4DF-62CB-47E2-8A32-C8C035C96842}" name="Kommentar"/>
    <tableColumn id="3" xr3:uid="{8165E444-6D5C-48F6-AED5-4035D21529CD}" name="Tagg"/>
  </tableColumns>
  <tableStyleInfo name="Timeliste" showFirstColumn="0" showLastColumn="0" showRowStripes="1" showColumnStripes="0"/>
  <extLst>
    <ext xmlns:x14="http://schemas.microsoft.com/office/spreadsheetml/2009/9/main" uri="{504A1905-F514-4f6f-8877-14C23A59335A}">
      <x14:table altTextSummary="Skriv inn daglig starttidspunkt og slutttidspunkt, inkludert start- og sluttidspunkt for lunsj. Daglige arbeidstimer, totalt antall arbeidstimer, ordinære timer og overtidstimer blir beregnet automatisk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E54AA1-E18C-48F3-9110-BA016608CB47}" name="Timeliste5711" displayName="Timeliste5711" ref="B5:E100" totalsRowShown="0">
  <autoFilter ref="B5:E100" xr:uid="{60E54AA1-E18C-48F3-9110-BA016608CB47}"/>
  <tableColumns count="4">
    <tableColumn id="1" xr3:uid="{03D415F4-7A41-40E4-B8AA-73E1AB8ACFFB}" name="Dato(er)" dataCellStyle="Dato"/>
    <tableColumn id="6" xr3:uid="{EA88C37A-5E26-4889-B598-4233CB164008}" name="Antall arbeidstimer" dataCellStyle="Timer"/>
    <tableColumn id="2" xr3:uid="{D7418011-AB4C-42E8-80FE-144F88E80167}" name="Kommentar"/>
    <tableColumn id="3" xr3:uid="{2FA65A74-7934-4D7B-B7C2-D824434B0D25}" name="Tagg"/>
  </tableColumns>
  <tableStyleInfo name="Timeliste" showFirstColumn="0" showLastColumn="0" showRowStripes="1" showColumnStripes="0"/>
  <extLst>
    <ext xmlns:x14="http://schemas.microsoft.com/office/spreadsheetml/2009/9/main" uri="{504A1905-F514-4f6f-8877-14C23A59335A}">
      <x14:table altTextSummary="Skriv inn daglig starttidspunkt og slutttidspunkt, inkludert start- og sluttidspunkt for lunsj. Daglige arbeidstimer, totalt antall arbeidstimer, ordinære timer og overtidstimer blir beregnet automatisk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DAE003-2639-4A0F-8B25-578A0DCE25B9}" name="Timeliste5712" displayName="Timeliste5712" ref="B5:E100" totalsRowShown="0">
  <autoFilter ref="B5:E100" xr:uid="{50DAE003-2639-4A0F-8B25-578A0DCE25B9}"/>
  <tableColumns count="4">
    <tableColumn id="1" xr3:uid="{1ECAB4DD-9493-4FE1-A74D-5C17E4277A19}" name="Dato(er)" dataCellStyle="Dato"/>
    <tableColumn id="6" xr3:uid="{871CE116-1832-4C02-94F3-55AAC229E8BB}" name="Antall arbeidstimer" dataCellStyle="Timer"/>
    <tableColumn id="2" xr3:uid="{A1C2C2DF-4BF4-4491-A425-D5247E54286A}" name="Kommentar"/>
    <tableColumn id="3" xr3:uid="{20EDD5D5-936F-4CE5-9A43-8E5BD70A1297}" name="Tagg"/>
  </tableColumns>
  <tableStyleInfo name="Timeliste" showFirstColumn="0" showLastColumn="0" showRowStripes="1" showColumnStripes="0"/>
  <extLst>
    <ext xmlns:x14="http://schemas.microsoft.com/office/spreadsheetml/2009/9/main" uri="{504A1905-F514-4f6f-8877-14C23A59335A}">
      <x14:table altTextSummary="Skriv inn daglig starttidspunkt og slutttidspunkt, inkludert start- og sluttidspunkt for lunsj. Daglige arbeidstimer, totalt antall arbeidstimer, ordinære timer og overtidstimer blir beregnet automatisk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F9D32FA-C785-4C7E-8C70-26F9209CC219}" name="Timeliste5713" displayName="Timeliste5713" ref="B5:E110" totalsRowShown="0">
  <autoFilter ref="B5:E110" xr:uid="{5F9D32FA-C785-4C7E-8C70-26F9209CC219}"/>
  <tableColumns count="4">
    <tableColumn id="1" xr3:uid="{62433A83-6881-4C5A-A4F8-7CDDF6D9D5D5}" name="Dato(er)" dataCellStyle="Dato"/>
    <tableColumn id="6" xr3:uid="{74361F02-5EDC-4581-AE7F-0DE160BF7DED}" name="Antall arbeidstimer" dataCellStyle="Timer"/>
    <tableColumn id="2" xr3:uid="{F88BDA05-A1E4-4205-9F27-578306437B4D}" name="Kommentar"/>
    <tableColumn id="3" xr3:uid="{243E70E6-2857-460B-8A5A-2DB7743CD152}" name="Tagg"/>
  </tableColumns>
  <tableStyleInfo name="Timeliste" showFirstColumn="0" showLastColumn="0" showRowStripes="1" showColumnStripes="0"/>
  <extLst>
    <ext xmlns:x14="http://schemas.microsoft.com/office/spreadsheetml/2009/9/main" uri="{504A1905-F514-4f6f-8877-14C23A59335A}">
      <x14:table altTextSummary="Skriv inn daglig starttidspunkt og slutttidspunkt, inkludert start- og sluttidspunkt for lunsj. Daglige arbeidstimer, totalt antall arbeidstimer, ordinære timer og overtidstimer blir beregnet automatisk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3194831-2C71-43F6-9C99-3EEDA6E61164}" name="Timeliste5714" displayName="Timeliste5714" ref="B5:E100" totalsRowShown="0">
  <autoFilter ref="B5:E100" xr:uid="{E3194831-2C71-43F6-9C99-3EEDA6E61164}"/>
  <tableColumns count="4">
    <tableColumn id="1" xr3:uid="{5BA9C870-FE3F-4796-9C9A-16792C6AAEE7}" name="Dato(er)" dataCellStyle="Dato"/>
    <tableColumn id="6" xr3:uid="{3F1E522A-828F-4C10-8B23-310A239E952B}" name="Antall arbeidstimer" dataCellStyle="Timer"/>
    <tableColumn id="2" xr3:uid="{C4D6466E-28B1-4DC2-B89C-9A4538514E87}" name="Kommentar"/>
    <tableColumn id="3" xr3:uid="{03F0105F-3B18-444F-9589-7F8A5F2A34ED}" name="Tagg"/>
  </tableColumns>
  <tableStyleInfo name="Timeliste" showFirstColumn="0" showLastColumn="0" showRowStripes="1" showColumnStripes="0"/>
  <extLst>
    <ext xmlns:x14="http://schemas.microsoft.com/office/spreadsheetml/2009/9/main" uri="{504A1905-F514-4f6f-8877-14C23A59335A}">
      <x14:table altTextSummary="Skriv inn daglig starttidspunkt og slutttidspunkt, inkludert start- og sluttidspunkt for lunsj. Daglige arbeidstimer, totalt antall arbeidstimer, ordinære timer og overtidstimer blir beregnet automatisk"/>
    </ext>
  </extLst>
</table>
</file>

<file path=xl/theme/theme1.xml><?xml version="1.0" encoding="utf-8"?>
<a:theme xmlns:a="http://schemas.openxmlformats.org/drawingml/2006/main" name="Office Theme">
  <a:themeElements>
    <a:clrScheme name="Employee time sheet">
      <a:dk1>
        <a:sysClr val="windowText" lastClr="000000"/>
      </a:dk1>
      <a:lt1>
        <a:sysClr val="window" lastClr="FFFFFF"/>
      </a:lt1>
      <a:dk2>
        <a:srgbClr val="141B23"/>
      </a:dk2>
      <a:lt2>
        <a:srgbClr val="F6F1F1"/>
      </a:lt2>
      <a:accent1>
        <a:srgbClr val="273645"/>
      </a:accent1>
      <a:accent2>
        <a:srgbClr val="914D4F"/>
      </a:accent2>
      <a:accent3>
        <a:srgbClr val="7A785E"/>
      </a:accent3>
      <a:accent4>
        <a:srgbClr val="E0B45C"/>
      </a:accent4>
      <a:accent5>
        <a:srgbClr val="DB8C49"/>
      </a:accent5>
      <a:accent6>
        <a:srgbClr val="376054"/>
      </a:accent6>
      <a:hlink>
        <a:srgbClr val="1A8091"/>
      </a:hlink>
      <a:folHlink>
        <a:srgbClr val="87547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K100"/>
  <sheetViews>
    <sheetView showGridLines="0" zoomScaleNormal="100" workbookViewId="0">
      <selection activeCell="B48" sqref="B48"/>
    </sheetView>
  </sheetViews>
  <sheetFormatPr baseColWidth="10" defaultColWidth="9.1640625" defaultRowHeight="20" customHeight="1" x14ac:dyDescent="0.2"/>
  <cols>
    <col min="1" max="1" width="2.6640625" customWidth="1"/>
    <col min="2" max="2" width="27.33203125" bestFit="1" customWidth="1"/>
    <col min="3" max="3" width="27.1640625" bestFit="1" customWidth="1"/>
    <col min="4" max="4" width="64.33203125" bestFit="1" customWidth="1"/>
    <col min="5" max="5" width="20.5" bestFit="1" customWidth="1"/>
    <col min="6" max="6" width="2.6640625" customWidth="1"/>
    <col min="8" max="8" width="14.83203125" bestFit="1" customWidth="1"/>
    <col min="9" max="9" width="17.1640625" bestFit="1" customWidth="1"/>
    <col min="10" max="10" width="25" bestFit="1" customWidth="1"/>
    <col min="11" max="11" width="5.83203125" customWidth="1"/>
  </cols>
  <sheetData>
    <row r="1" spans="2:11" ht="35" customHeight="1" thickTop="1" x14ac:dyDescent="0.35">
      <c r="B1" s="1" t="s">
        <v>0</v>
      </c>
      <c r="C1" s="1"/>
      <c r="D1" s="1"/>
      <c r="E1" s="1"/>
      <c r="F1" s="1"/>
    </row>
    <row r="2" spans="2:11" ht="30" customHeight="1" thickBot="1" x14ac:dyDescent="0.25">
      <c r="B2" t="s">
        <v>1</v>
      </c>
    </row>
    <row r="3" spans="2:11" ht="45" customHeight="1" thickBot="1" x14ac:dyDescent="0.25">
      <c r="B3" s="5" t="s">
        <v>2</v>
      </c>
      <c r="C3" s="6" t="s">
        <v>3</v>
      </c>
    </row>
    <row r="4" spans="2:11" ht="30" customHeight="1" thickBot="1" x14ac:dyDescent="0.35">
      <c r="B4" s="2"/>
      <c r="C4" s="7">
        <f>SUBTOTAL(109,Timeliste57[Antall arbeidstimer])</f>
        <v>116.6</v>
      </c>
    </row>
    <row r="5" spans="2:11" ht="40" customHeight="1" x14ac:dyDescent="0.2">
      <c r="B5" t="s">
        <v>4</v>
      </c>
      <c r="C5" t="s">
        <v>5</v>
      </c>
      <c r="D5" t="s">
        <v>6</v>
      </c>
      <c r="E5" t="s">
        <v>7</v>
      </c>
      <c r="H5" s="22" t="s">
        <v>8</v>
      </c>
      <c r="I5" s="22" t="s">
        <v>9</v>
      </c>
      <c r="J5" s="22" t="s">
        <v>10</v>
      </c>
      <c r="K5" s="22" t="s">
        <v>11</v>
      </c>
    </row>
    <row r="6" spans="2:11" ht="20" customHeight="1" x14ac:dyDescent="0.2">
      <c r="B6" s="3">
        <v>45887</v>
      </c>
      <c r="C6" s="4">
        <v>2</v>
      </c>
      <c r="E6" t="s">
        <v>12</v>
      </c>
      <c r="H6" s="23" t="s">
        <v>13</v>
      </c>
      <c r="I6" s="24">
        <f>COUNTIF(E6:E100, "Programmering")</f>
        <v>10</v>
      </c>
      <c r="J6" s="24">
        <f>SUMIF(E6:E100, "Programmering", C6:C100)</f>
        <v>38</v>
      </c>
      <c r="K6" s="25">
        <f>J6/C4*100</f>
        <v>32.590051457975989</v>
      </c>
    </row>
    <row r="7" spans="2:11" ht="20" customHeight="1" x14ac:dyDescent="0.2">
      <c r="B7" s="3">
        <v>45888</v>
      </c>
      <c r="C7" s="4">
        <v>2</v>
      </c>
      <c r="E7" t="s">
        <v>12</v>
      </c>
      <c r="H7" s="26" t="s">
        <v>14</v>
      </c>
      <c r="I7" s="24">
        <f>COUNTIF(E6:E100, "Raport")</f>
        <v>8</v>
      </c>
      <c r="J7" s="24">
        <f>SUMIF(E6:E100, "Raport", C6:C100)</f>
        <v>16.600000000000001</v>
      </c>
      <c r="K7" s="25">
        <f>J7/C4*100</f>
        <v>14.236706689536879</v>
      </c>
    </row>
    <row r="8" spans="2:11" ht="20" customHeight="1" x14ac:dyDescent="0.2">
      <c r="B8" s="3">
        <v>45891</v>
      </c>
      <c r="C8" s="4">
        <v>2</v>
      </c>
      <c r="E8" t="s">
        <v>12</v>
      </c>
      <c r="H8" s="27" t="s">
        <v>15</v>
      </c>
      <c r="I8" s="24">
        <f>COUNTIF(E6:E100, "Møte")</f>
        <v>2</v>
      </c>
      <c r="J8" s="24">
        <f>SUMIF(E6:E100, "Møte", C6:C100)</f>
        <v>4</v>
      </c>
      <c r="K8" s="25">
        <f>J8/C4*100</f>
        <v>3.4305317324185252</v>
      </c>
    </row>
    <row r="9" spans="2:11" ht="20" customHeight="1" x14ac:dyDescent="0.2">
      <c r="B9" s="3">
        <v>45894</v>
      </c>
      <c r="C9" s="4">
        <v>2</v>
      </c>
      <c r="E9" t="s">
        <v>12</v>
      </c>
      <c r="H9" s="28" t="s">
        <v>16</v>
      </c>
      <c r="I9" s="24">
        <f>COUNTIF(E6:E100, "Database")</f>
        <v>0</v>
      </c>
      <c r="J9" s="24">
        <f>SUMIF(E6:E100, "Database", C6:C100)</f>
        <v>0</v>
      </c>
      <c r="K9" s="25">
        <f>J9/C4*100</f>
        <v>0</v>
      </c>
    </row>
    <row r="10" spans="2:11" ht="20" customHeight="1" x14ac:dyDescent="0.2">
      <c r="B10" s="3">
        <v>45895</v>
      </c>
      <c r="C10" s="4">
        <v>2</v>
      </c>
      <c r="E10" t="s">
        <v>12</v>
      </c>
      <c r="H10" s="29" t="s">
        <v>17</v>
      </c>
      <c r="I10" s="24">
        <f>COUNTIF(E6:E100, "GitHub")</f>
        <v>0</v>
      </c>
      <c r="J10" s="24">
        <f>SUMIF(E6:E100, "GitHub", C6:C100)</f>
        <v>0</v>
      </c>
      <c r="K10" s="25">
        <f>J10/C4*100</f>
        <v>0</v>
      </c>
    </row>
    <row r="11" spans="2:11" ht="20" customHeight="1" x14ac:dyDescent="0.2">
      <c r="B11" s="3">
        <v>45901</v>
      </c>
      <c r="C11" s="4">
        <v>2</v>
      </c>
      <c r="E11" t="s">
        <v>12</v>
      </c>
      <c r="H11" s="30" t="s">
        <v>18</v>
      </c>
      <c r="I11" s="24">
        <f>COUNTIF(E6:E100, "Administrativt")</f>
        <v>0</v>
      </c>
      <c r="J11" s="24">
        <f>SUMIF(E6:E100, "Administrativt", C6:C100)</f>
        <v>0</v>
      </c>
      <c r="K11" s="25">
        <f>J11/C4*100</f>
        <v>0</v>
      </c>
    </row>
    <row r="12" spans="2:11" ht="20" customHeight="1" x14ac:dyDescent="0.2">
      <c r="B12" s="3">
        <v>45901</v>
      </c>
      <c r="C12" s="4">
        <v>1</v>
      </c>
      <c r="E12" t="s">
        <v>14</v>
      </c>
      <c r="H12" s="31" t="s">
        <v>12</v>
      </c>
      <c r="I12" s="24">
        <f>COUNTIF(E6:E100, "Forelesning/WS")</f>
        <v>23</v>
      </c>
      <c r="J12" s="24">
        <f>SUMIF(E6:E100, "Forelesning/WS", C6:C100)</f>
        <v>46</v>
      </c>
      <c r="K12" s="25">
        <f>J12/C4*100</f>
        <v>39.451114922813034</v>
      </c>
    </row>
    <row r="13" spans="2:11" ht="20" customHeight="1" x14ac:dyDescent="0.2">
      <c r="B13" s="3">
        <v>45903</v>
      </c>
      <c r="C13" s="4">
        <v>0.5</v>
      </c>
      <c r="E13" t="s">
        <v>19</v>
      </c>
      <c r="H13" s="32" t="s">
        <v>19</v>
      </c>
      <c r="I13" s="24">
        <f>COUNTIF(E6:E100, "Veiledning")</f>
        <v>2</v>
      </c>
      <c r="J13" s="24">
        <f>SUMIF(E6:E100, "Veiledning", C6:C100)</f>
        <v>1.5</v>
      </c>
      <c r="K13" s="25">
        <f>J13/C4*100</f>
        <v>1.2864493996569468</v>
      </c>
    </row>
    <row r="14" spans="2:11" ht="20" customHeight="1" x14ac:dyDescent="0.2">
      <c r="B14" s="3">
        <v>45905</v>
      </c>
      <c r="C14" s="4">
        <v>2</v>
      </c>
      <c r="E14" t="s">
        <v>12</v>
      </c>
      <c r="H14" s="33" t="s">
        <v>20</v>
      </c>
      <c r="I14" s="24">
        <f>COUNTIF(E6:E100, "Design")</f>
        <v>2</v>
      </c>
      <c r="J14" s="24">
        <f>SUMIF(E6:E100, "Design", C6:C100)</f>
        <v>4.5</v>
      </c>
      <c r="K14" s="24">
        <f>J14/C4*100</f>
        <v>3.8593481989708405</v>
      </c>
    </row>
    <row r="15" spans="2:11" ht="20" customHeight="1" x14ac:dyDescent="0.2">
      <c r="B15" s="3">
        <v>45908</v>
      </c>
      <c r="C15" s="4">
        <v>2</v>
      </c>
      <c r="E15" t="s">
        <v>12</v>
      </c>
      <c r="H15" s="24" t="s">
        <v>21</v>
      </c>
      <c r="I15" s="24">
        <f>COUNTIF(E6:E100, "Annet")</f>
        <v>0</v>
      </c>
      <c r="J15" s="24">
        <f>SUMIF(E7:E101, "Annet", C6:C100)</f>
        <v>0</v>
      </c>
      <c r="K15" s="24">
        <f>J15/C4*100</f>
        <v>0</v>
      </c>
    </row>
    <row r="16" spans="2:11" ht="20" customHeight="1" x14ac:dyDescent="0.2">
      <c r="B16" s="3">
        <v>45912</v>
      </c>
      <c r="C16" s="4">
        <v>2</v>
      </c>
      <c r="E16" t="s">
        <v>12</v>
      </c>
    </row>
    <row r="17" spans="2:5" ht="20" customHeight="1" x14ac:dyDescent="0.2">
      <c r="B17" s="3">
        <v>45912</v>
      </c>
      <c r="C17" s="4">
        <v>1.3</v>
      </c>
      <c r="E17" t="s">
        <v>14</v>
      </c>
    </row>
    <row r="18" spans="2:5" ht="20" customHeight="1" x14ac:dyDescent="0.2">
      <c r="B18" s="3">
        <v>45915</v>
      </c>
      <c r="C18" s="4">
        <v>2</v>
      </c>
      <c r="E18" t="s">
        <v>12</v>
      </c>
    </row>
    <row r="19" spans="2:5" ht="20" customHeight="1" x14ac:dyDescent="0.2">
      <c r="B19" s="3">
        <v>45919</v>
      </c>
      <c r="C19" s="4">
        <v>2</v>
      </c>
      <c r="E19" t="s">
        <v>12</v>
      </c>
    </row>
    <row r="20" spans="2:5" ht="20" customHeight="1" x14ac:dyDescent="0.2">
      <c r="B20" s="3">
        <v>45922</v>
      </c>
      <c r="C20" s="4">
        <v>2</v>
      </c>
      <c r="E20" t="s">
        <v>12</v>
      </c>
    </row>
    <row r="21" spans="2:5" ht="20" customHeight="1" x14ac:dyDescent="0.2">
      <c r="B21" s="3">
        <v>45929</v>
      </c>
      <c r="C21" s="4">
        <v>2</v>
      </c>
      <c r="E21" t="s">
        <v>12</v>
      </c>
    </row>
    <row r="22" spans="2:5" ht="20" customHeight="1" x14ac:dyDescent="0.2">
      <c r="B22" s="3">
        <v>45930</v>
      </c>
      <c r="C22" s="4">
        <v>3</v>
      </c>
      <c r="D22" t="s">
        <v>22</v>
      </c>
      <c r="E22" t="s">
        <v>13</v>
      </c>
    </row>
    <row r="23" spans="2:5" ht="20" customHeight="1" x14ac:dyDescent="0.2">
      <c r="B23" s="3">
        <v>45931</v>
      </c>
      <c r="C23" s="4">
        <v>2</v>
      </c>
      <c r="D23" t="s">
        <v>22</v>
      </c>
      <c r="E23" t="s">
        <v>13</v>
      </c>
    </row>
    <row r="24" spans="2:5" ht="20" customHeight="1" x14ac:dyDescent="0.2">
      <c r="B24" s="3">
        <v>45933</v>
      </c>
      <c r="C24" s="4">
        <v>3</v>
      </c>
      <c r="D24" t="s">
        <v>23</v>
      </c>
      <c r="E24" t="s">
        <v>13</v>
      </c>
    </row>
    <row r="25" spans="2:5" ht="20" customHeight="1" x14ac:dyDescent="0.2">
      <c r="B25" s="3">
        <v>45935</v>
      </c>
      <c r="C25" s="4">
        <v>4</v>
      </c>
      <c r="D25" t="s">
        <v>24</v>
      </c>
      <c r="E25" t="s">
        <v>13</v>
      </c>
    </row>
    <row r="26" spans="2:5" ht="20" customHeight="1" x14ac:dyDescent="0.2">
      <c r="B26" s="3">
        <v>45936</v>
      </c>
      <c r="C26" s="4">
        <v>2</v>
      </c>
      <c r="E26" t="s">
        <v>12</v>
      </c>
    </row>
    <row r="27" spans="2:5" ht="20" customHeight="1" x14ac:dyDescent="0.2">
      <c r="B27" s="3">
        <v>45936</v>
      </c>
      <c r="C27" s="4">
        <v>2</v>
      </c>
      <c r="E27" t="s">
        <v>14</v>
      </c>
    </row>
    <row r="28" spans="2:5" ht="20" customHeight="1" x14ac:dyDescent="0.2">
      <c r="B28" s="3">
        <v>45937</v>
      </c>
      <c r="C28" s="4">
        <v>2</v>
      </c>
      <c r="E28" t="s">
        <v>12</v>
      </c>
    </row>
    <row r="29" spans="2:5" ht="20" customHeight="1" x14ac:dyDescent="0.2">
      <c r="B29" s="3">
        <v>45940</v>
      </c>
      <c r="C29" s="4">
        <v>2</v>
      </c>
      <c r="E29" t="s">
        <v>12</v>
      </c>
    </row>
    <row r="30" spans="2:5" ht="20" customHeight="1" x14ac:dyDescent="0.2">
      <c r="B30" s="3">
        <v>45943</v>
      </c>
      <c r="C30" s="4">
        <v>2</v>
      </c>
      <c r="D30" t="s">
        <v>25</v>
      </c>
      <c r="E30" t="s">
        <v>12</v>
      </c>
    </row>
    <row r="31" spans="2:5" ht="20" customHeight="1" x14ac:dyDescent="0.2">
      <c r="B31" s="3">
        <v>45944</v>
      </c>
      <c r="C31" s="4">
        <v>4</v>
      </c>
      <c r="D31" t="s">
        <v>26</v>
      </c>
      <c r="E31" t="s">
        <v>13</v>
      </c>
    </row>
    <row r="32" spans="2:5" ht="20" customHeight="1" x14ac:dyDescent="0.2">
      <c r="B32" s="3">
        <v>45945</v>
      </c>
      <c r="C32" s="4">
        <v>3</v>
      </c>
      <c r="D32" t="s">
        <v>27</v>
      </c>
    </row>
    <row r="33" spans="2:5" ht="20" customHeight="1" x14ac:dyDescent="0.2">
      <c r="B33" s="3">
        <v>45946</v>
      </c>
      <c r="C33" s="4">
        <v>3</v>
      </c>
      <c r="D33" t="s">
        <v>28</v>
      </c>
    </row>
    <row r="34" spans="2:5" ht="20" customHeight="1" x14ac:dyDescent="0.2">
      <c r="B34" s="3">
        <v>45947</v>
      </c>
      <c r="C34" s="4">
        <v>2</v>
      </c>
      <c r="E34" t="s">
        <v>12</v>
      </c>
    </row>
    <row r="35" spans="2:5" ht="20" customHeight="1" x14ac:dyDescent="0.2">
      <c r="B35" s="3">
        <v>45950</v>
      </c>
      <c r="C35" s="4">
        <v>2</v>
      </c>
      <c r="E35" t="s">
        <v>12</v>
      </c>
    </row>
    <row r="36" spans="2:5" ht="20" customHeight="1" x14ac:dyDescent="0.2">
      <c r="B36" s="3">
        <v>45951</v>
      </c>
      <c r="C36" s="4">
        <v>2</v>
      </c>
      <c r="E36" t="s">
        <v>12</v>
      </c>
    </row>
    <row r="37" spans="2:5" ht="20" customHeight="1" x14ac:dyDescent="0.2">
      <c r="B37" s="3">
        <v>45953</v>
      </c>
      <c r="C37" s="4">
        <v>2</v>
      </c>
      <c r="E37" t="s">
        <v>15</v>
      </c>
    </row>
    <row r="38" spans="2:5" ht="20" customHeight="1" x14ac:dyDescent="0.2">
      <c r="B38" s="3">
        <v>45954</v>
      </c>
      <c r="C38" s="4">
        <v>2</v>
      </c>
      <c r="E38" t="s">
        <v>12</v>
      </c>
    </row>
    <row r="39" spans="2:5" ht="20" customHeight="1" x14ac:dyDescent="0.2">
      <c r="B39" s="3">
        <v>45955</v>
      </c>
      <c r="C39" s="4">
        <v>5</v>
      </c>
      <c r="D39" t="s">
        <v>29</v>
      </c>
      <c r="E39" t="s">
        <v>13</v>
      </c>
    </row>
    <row r="40" spans="2:5" ht="20" customHeight="1" x14ac:dyDescent="0.2">
      <c r="B40" s="3">
        <v>45956</v>
      </c>
      <c r="C40" s="4">
        <v>4</v>
      </c>
      <c r="D40" t="s">
        <v>29</v>
      </c>
      <c r="E40" t="s">
        <v>13</v>
      </c>
    </row>
    <row r="41" spans="2:5" ht="20" customHeight="1" x14ac:dyDescent="0.2">
      <c r="B41" s="3">
        <v>45956</v>
      </c>
      <c r="C41" s="4">
        <v>1</v>
      </c>
      <c r="D41" t="s">
        <v>30</v>
      </c>
      <c r="E41" t="s">
        <v>14</v>
      </c>
    </row>
    <row r="42" spans="2:5" ht="20" customHeight="1" x14ac:dyDescent="0.2">
      <c r="B42" s="3">
        <v>45957</v>
      </c>
      <c r="C42" s="4">
        <v>2</v>
      </c>
      <c r="E42" t="s">
        <v>12</v>
      </c>
    </row>
    <row r="43" spans="2:5" ht="20" customHeight="1" x14ac:dyDescent="0.2">
      <c r="B43" s="3">
        <v>45958</v>
      </c>
      <c r="C43" s="4">
        <v>2</v>
      </c>
      <c r="E43" t="s">
        <v>12</v>
      </c>
    </row>
    <row r="44" spans="2:5" ht="20" customHeight="1" x14ac:dyDescent="0.2">
      <c r="B44" s="3">
        <v>45961</v>
      </c>
      <c r="C44" s="4">
        <v>4</v>
      </c>
      <c r="D44" t="s">
        <v>31</v>
      </c>
      <c r="E44" t="s">
        <v>13</v>
      </c>
    </row>
    <row r="45" spans="2:5" ht="20" customHeight="1" x14ac:dyDescent="0.2">
      <c r="B45" s="3">
        <v>45963</v>
      </c>
      <c r="C45" s="4">
        <v>5</v>
      </c>
      <c r="D45" t="s">
        <v>32</v>
      </c>
      <c r="E45" t="s">
        <v>13</v>
      </c>
    </row>
    <row r="46" spans="2:5" ht="20" customHeight="1" x14ac:dyDescent="0.2">
      <c r="B46" s="3">
        <v>45964</v>
      </c>
      <c r="C46" s="4">
        <v>4</v>
      </c>
      <c r="D46" t="s">
        <v>119</v>
      </c>
      <c r="E46" t="s">
        <v>13</v>
      </c>
    </row>
    <row r="47" spans="2:5" ht="20" customHeight="1" x14ac:dyDescent="0.2">
      <c r="B47" s="3">
        <v>45965</v>
      </c>
      <c r="C47" s="4">
        <v>2</v>
      </c>
      <c r="D47" t="s">
        <v>33</v>
      </c>
      <c r="E47" t="s">
        <v>15</v>
      </c>
    </row>
    <row r="48" spans="2:5" ht="20" customHeight="1" x14ac:dyDescent="0.2">
      <c r="B48" s="3">
        <v>45973</v>
      </c>
      <c r="C48" s="4">
        <v>1</v>
      </c>
      <c r="E48" t="s">
        <v>19</v>
      </c>
    </row>
    <row r="49" spans="2:5" ht="20" customHeight="1" x14ac:dyDescent="0.2">
      <c r="B49" s="3">
        <v>45976</v>
      </c>
      <c r="C49" s="4">
        <v>2.2999999999999998</v>
      </c>
      <c r="D49" t="s">
        <v>34</v>
      </c>
      <c r="E49" t="s">
        <v>14</v>
      </c>
    </row>
    <row r="50" spans="2:5" ht="20" customHeight="1" x14ac:dyDescent="0.2">
      <c r="B50" s="3">
        <v>45977</v>
      </c>
      <c r="C50" s="4">
        <v>2</v>
      </c>
      <c r="D50" t="s">
        <v>34</v>
      </c>
      <c r="E50" t="s">
        <v>14</v>
      </c>
    </row>
    <row r="51" spans="2:5" ht="20" customHeight="1" x14ac:dyDescent="0.2">
      <c r="B51" s="3">
        <v>45978</v>
      </c>
      <c r="C51" s="4">
        <v>2.5</v>
      </c>
      <c r="D51" t="s">
        <v>35</v>
      </c>
      <c r="E51" t="s">
        <v>20</v>
      </c>
    </row>
    <row r="52" spans="2:5" ht="20" customHeight="1" x14ac:dyDescent="0.2">
      <c r="B52" s="3">
        <v>45979</v>
      </c>
      <c r="C52" s="4">
        <v>2</v>
      </c>
      <c r="D52" t="s">
        <v>36</v>
      </c>
      <c r="E52" t="s">
        <v>20</v>
      </c>
    </row>
    <row r="53" spans="2:5" ht="20" customHeight="1" x14ac:dyDescent="0.2">
      <c r="B53" s="3">
        <v>45980</v>
      </c>
      <c r="C53" s="4">
        <v>5</v>
      </c>
      <c r="D53" t="s">
        <v>37</v>
      </c>
      <c r="E53" t="s">
        <v>14</v>
      </c>
    </row>
    <row r="54" spans="2:5" ht="20" customHeight="1" x14ac:dyDescent="0.2">
      <c r="B54" s="3">
        <v>45982</v>
      </c>
      <c r="C54" s="4">
        <v>2</v>
      </c>
      <c r="D54" t="s">
        <v>118</v>
      </c>
      <c r="E54" t="s">
        <v>14</v>
      </c>
    </row>
    <row r="55" spans="2:5" ht="20" customHeight="1" x14ac:dyDescent="0.2">
      <c r="B55" s="3" t="s">
        <v>38</v>
      </c>
      <c r="C55" s="4">
        <v>0</v>
      </c>
    </row>
    <row r="56" spans="2:5" ht="20" customHeight="1" x14ac:dyDescent="0.2">
      <c r="B56" s="3" t="s">
        <v>38</v>
      </c>
      <c r="C56" s="4">
        <v>0</v>
      </c>
    </row>
    <row r="57" spans="2:5" ht="20" customHeight="1" x14ac:dyDescent="0.2">
      <c r="B57" s="3" t="s">
        <v>38</v>
      </c>
      <c r="C57" s="4">
        <v>0</v>
      </c>
    </row>
    <row r="58" spans="2:5" ht="20" customHeight="1" x14ac:dyDescent="0.2">
      <c r="B58" s="3" t="s">
        <v>38</v>
      </c>
      <c r="C58" s="4">
        <v>0</v>
      </c>
    </row>
    <row r="59" spans="2:5" ht="20" customHeight="1" x14ac:dyDescent="0.2">
      <c r="B59" s="3" t="s">
        <v>38</v>
      </c>
      <c r="C59" s="4">
        <v>0</v>
      </c>
    </row>
    <row r="60" spans="2:5" ht="20" customHeight="1" x14ac:dyDescent="0.2">
      <c r="B60" s="3" t="s">
        <v>38</v>
      </c>
      <c r="C60" s="4">
        <v>0</v>
      </c>
    </row>
    <row r="61" spans="2:5" ht="20" customHeight="1" x14ac:dyDescent="0.2">
      <c r="B61" s="3" t="s">
        <v>38</v>
      </c>
      <c r="C61" s="4">
        <v>0</v>
      </c>
    </row>
    <row r="62" spans="2:5" ht="20" customHeight="1" x14ac:dyDescent="0.2">
      <c r="B62" s="3" t="s">
        <v>38</v>
      </c>
      <c r="C62" s="4">
        <v>0</v>
      </c>
    </row>
    <row r="63" spans="2:5" ht="20" customHeight="1" x14ac:dyDescent="0.2">
      <c r="B63" s="3" t="s">
        <v>38</v>
      </c>
      <c r="C63" s="4">
        <v>0</v>
      </c>
    </row>
    <row r="64" spans="2:5" ht="20" customHeight="1" x14ac:dyDescent="0.2">
      <c r="B64" s="3" t="s">
        <v>38</v>
      </c>
      <c r="C64" s="4">
        <v>0</v>
      </c>
    </row>
    <row r="65" spans="2:3" ht="20" customHeight="1" x14ac:dyDescent="0.2">
      <c r="B65" s="3" t="s">
        <v>38</v>
      </c>
      <c r="C65" s="4">
        <v>0</v>
      </c>
    </row>
    <row r="66" spans="2:3" ht="20" customHeight="1" x14ac:dyDescent="0.2">
      <c r="B66" s="3" t="s">
        <v>38</v>
      </c>
      <c r="C66" s="4">
        <v>0</v>
      </c>
    </row>
    <row r="67" spans="2:3" ht="20" customHeight="1" x14ac:dyDescent="0.2">
      <c r="B67" s="3" t="s">
        <v>38</v>
      </c>
      <c r="C67" s="4">
        <v>0</v>
      </c>
    </row>
    <row r="68" spans="2:3" ht="20" customHeight="1" x14ac:dyDescent="0.2">
      <c r="B68" s="3" t="s">
        <v>38</v>
      </c>
      <c r="C68" s="4">
        <v>0</v>
      </c>
    </row>
    <row r="69" spans="2:3" ht="20" customHeight="1" x14ac:dyDescent="0.2">
      <c r="B69" s="3" t="s">
        <v>38</v>
      </c>
      <c r="C69" s="4">
        <v>0</v>
      </c>
    </row>
    <row r="70" spans="2:3" ht="20" customHeight="1" x14ac:dyDescent="0.2">
      <c r="B70" s="3" t="s">
        <v>38</v>
      </c>
      <c r="C70" s="4">
        <v>0</v>
      </c>
    </row>
    <row r="71" spans="2:3" ht="20" customHeight="1" x14ac:dyDescent="0.2">
      <c r="B71" s="3" t="s">
        <v>38</v>
      </c>
      <c r="C71" s="4">
        <v>0</v>
      </c>
    </row>
    <row r="72" spans="2:3" ht="20" customHeight="1" x14ac:dyDescent="0.2">
      <c r="B72" s="3" t="s">
        <v>38</v>
      </c>
      <c r="C72" s="4">
        <v>0</v>
      </c>
    </row>
    <row r="73" spans="2:3" ht="20" customHeight="1" x14ac:dyDescent="0.2">
      <c r="B73" s="3" t="s">
        <v>38</v>
      </c>
      <c r="C73" s="4">
        <v>0</v>
      </c>
    </row>
    <row r="74" spans="2:3" ht="20" customHeight="1" x14ac:dyDescent="0.2">
      <c r="B74" s="3" t="s">
        <v>38</v>
      </c>
      <c r="C74" s="4">
        <v>0</v>
      </c>
    </row>
    <row r="75" spans="2:3" ht="20" customHeight="1" x14ac:dyDescent="0.2">
      <c r="B75" s="3" t="s">
        <v>38</v>
      </c>
      <c r="C75" s="4">
        <v>0</v>
      </c>
    </row>
    <row r="76" spans="2:3" ht="20" customHeight="1" x14ac:dyDescent="0.2">
      <c r="B76" s="3" t="s">
        <v>38</v>
      </c>
      <c r="C76" s="4">
        <v>0</v>
      </c>
    </row>
    <row r="77" spans="2:3" ht="20" customHeight="1" x14ac:dyDescent="0.2">
      <c r="B77" s="3" t="s">
        <v>38</v>
      </c>
      <c r="C77" s="4">
        <v>0</v>
      </c>
    </row>
    <row r="78" spans="2:3" ht="20" customHeight="1" x14ac:dyDescent="0.2">
      <c r="B78" s="3" t="s">
        <v>38</v>
      </c>
      <c r="C78" s="4">
        <v>0</v>
      </c>
    </row>
    <row r="79" spans="2:3" ht="20" customHeight="1" x14ac:dyDescent="0.2">
      <c r="B79" s="3" t="s">
        <v>38</v>
      </c>
      <c r="C79" s="4">
        <v>0</v>
      </c>
    </row>
    <row r="80" spans="2:3" ht="20" customHeight="1" x14ac:dyDescent="0.2">
      <c r="B80" s="3" t="s">
        <v>38</v>
      </c>
      <c r="C80" s="4">
        <v>0</v>
      </c>
    </row>
    <row r="81" spans="2:3" ht="20" customHeight="1" x14ac:dyDescent="0.2">
      <c r="B81" s="3" t="s">
        <v>38</v>
      </c>
      <c r="C81" s="4">
        <v>0</v>
      </c>
    </row>
    <row r="82" spans="2:3" ht="20" customHeight="1" x14ac:dyDescent="0.2">
      <c r="B82" s="3" t="s">
        <v>38</v>
      </c>
      <c r="C82" s="4">
        <v>0</v>
      </c>
    </row>
    <row r="83" spans="2:3" ht="20" customHeight="1" x14ac:dyDescent="0.2">
      <c r="B83" s="3" t="s">
        <v>38</v>
      </c>
      <c r="C83" s="4">
        <v>0</v>
      </c>
    </row>
    <row r="84" spans="2:3" ht="20" customHeight="1" x14ac:dyDescent="0.2">
      <c r="B84" s="3" t="s">
        <v>38</v>
      </c>
      <c r="C84" s="4">
        <v>0</v>
      </c>
    </row>
    <row r="85" spans="2:3" ht="20" customHeight="1" x14ac:dyDescent="0.2">
      <c r="B85" s="3" t="s">
        <v>38</v>
      </c>
      <c r="C85" s="4">
        <v>0</v>
      </c>
    </row>
    <row r="86" spans="2:3" ht="20" customHeight="1" x14ac:dyDescent="0.2">
      <c r="B86" s="3" t="s">
        <v>38</v>
      </c>
      <c r="C86" s="4">
        <v>0</v>
      </c>
    </row>
    <row r="87" spans="2:3" ht="20" customHeight="1" x14ac:dyDescent="0.2">
      <c r="B87" s="3" t="s">
        <v>38</v>
      </c>
      <c r="C87" s="4">
        <v>0</v>
      </c>
    </row>
    <row r="88" spans="2:3" ht="20" customHeight="1" x14ac:dyDescent="0.2">
      <c r="B88" s="3" t="s">
        <v>38</v>
      </c>
      <c r="C88" s="4">
        <v>0</v>
      </c>
    </row>
    <row r="89" spans="2:3" ht="20" customHeight="1" x14ac:dyDescent="0.2">
      <c r="B89" s="3" t="s">
        <v>38</v>
      </c>
      <c r="C89" s="4">
        <v>0</v>
      </c>
    </row>
    <row r="90" spans="2:3" ht="20" customHeight="1" x14ac:dyDescent="0.2">
      <c r="B90" s="3" t="s">
        <v>38</v>
      </c>
      <c r="C90" s="4">
        <v>0</v>
      </c>
    </row>
    <row r="91" spans="2:3" ht="20" customHeight="1" x14ac:dyDescent="0.2">
      <c r="B91" s="3" t="s">
        <v>38</v>
      </c>
      <c r="C91" s="4">
        <v>0</v>
      </c>
    </row>
    <row r="92" spans="2:3" ht="20" customHeight="1" x14ac:dyDescent="0.2">
      <c r="B92" s="3" t="s">
        <v>38</v>
      </c>
      <c r="C92" s="4">
        <v>0</v>
      </c>
    </row>
    <row r="93" spans="2:3" ht="20" customHeight="1" x14ac:dyDescent="0.2">
      <c r="B93" s="3" t="s">
        <v>38</v>
      </c>
      <c r="C93" s="4">
        <v>0</v>
      </c>
    </row>
    <row r="94" spans="2:3" ht="20" customHeight="1" x14ac:dyDescent="0.2">
      <c r="B94" s="3" t="s">
        <v>38</v>
      </c>
      <c r="C94" s="4">
        <v>0</v>
      </c>
    </row>
    <row r="95" spans="2:3" ht="20" customHeight="1" x14ac:dyDescent="0.2">
      <c r="B95" s="3" t="s">
        <v>38</v>
      </c>
      <c r="C95" s="4">
        <v>0</v>
      </c>
    </row>
    <row r="96" spans="2:3" ht="20" customHeight="1" x14ac:dyDescent="0.2">
      <c r="B96" s="3" t="s">
        <v>38</v>
      </c>
      <c r="C96" s="4">
        <v>0</v>
      </c>
    </row>
    <row r="97" spans="2:3" ht="20" customHeight="1" x14ac:dyDescent="0.2">
      <c r="B97" s="3" t="s">
        <v>38</v>
      </c>
      <c r="C97" s="4">
        <v>0</v>
      </c>
    </row>
    <row r="98" spans="2:3" ht="20" customHeight="1" x14ac:dyDescent="0.2">
      <c r="B98" s="3" t="s">
        <v>38</v>
      </c>
      <c r="C98" s="4">
        <v>0</v>
      </c>
    </row>
    <row r="99" spans="2:3" ht="20" customHeight="1" x14ac:dyDescent="0.2">
      <c r="B99" s="3" t="s">
        <v>38</v>
      </c>
      <c r="C99" s="4">
        <v>0</v>
      </c>
    </row>
    <row r="100" spans="2:3" ht="20" customHeight="1" x14ac:dyDescent="0.2">
      <c r="B100" s="3" t="s">
        <v>38</v>
      </c>
      <c r="C100" s="4">
        <v>0</v>
      </c>
    </row>
  </sheetData>
  <dataValidations count="12">
    <dataValidation allowBlank="1" showErrorMessage="1" sqref="C1:XFD1 A2:A1048576 E101:E1048576 B60:C1048576 D2:E4 D18:D20 B24:D25 D28:D53 D56:D57 B59:D59 D61:D1048576 D6:D16 B6:C23 B26:C58 F2:G1048576 H16:H1048576 H2:H5 I2:XFD1048576" xr:uid="{B69BB72B-D664-45B5-81F5-02075E8B9CDC}"/>
    <dataValidation allowBlank="1" showInputMessage="1" showErrorMessage="1" prompt="Bruk dette regnearket til å spore antall arbeidstimer i en arbeidsuke. Skriv inn dato og klokkeslett i Timeliste-tabellen. Totalt antall timer, ordinære timer og overtidstimer blir automatisk kalkulert i rad 6" sqref="A1" xr:uid="{A4DA4F5C-B950-4610-91C2-3B3F0D8147DE}"/>
    <dataValidation allowBlank="1" showInputMessage="1" showErrorMessage="1" prompt="Tittelen på regnearket vises i denne cellen.  Skriv inn detaljer om den ansatte og leder i cellene under" sqref="B1" xr:uid="{77232CCD-15C0-459B-BA04-B7EBEE0B4983}"/>
    <dataValidation allowBlank="1" showInputMessage="1" showErrorMessage="1" prompt="Skriv inn den ansattes navn i denne cellen" sqref="B2" xr:uid="{8591BF81-A0CC-4B14-9E01-BAB09CD23DC4}"/>
    <dataValidation allowBlank="1" showInputMessage="1" showErrorMessage="1" prompt="Skriv inn den ansattes e-postadresse i denne cellen" sqref="C2" xr:uid="{5C97FF8D-F447-42AF-823F-E88404E4CA28}"/>
    <dataValidation allowBlank="1" showInputMessage="1" showErrorMessage="1" prompt="Skriv inn totalt antall arbeidstimer uke i cellen under" sqref="B3" xr:uid="{0D9EF1BC-595B-4AA1-9E21-3C671E99681B}"/>
    <dataValidation allowBlank="1" showInputMessage="1" showErrorMessage="1" prompt="Totale arbeidstimer beregnes automatisk i cellen nedenfor" sqref="C3" xr:uid="{9F8B9154-6C14-4DA0-BD31-E8540728D914}"/>
    <dataValidation allowBlank="1" showInputMessage="1" showErrorMessage="1" prompt="Skriv inn totale arbeidstimer for uken i denne cellen" sqref="B4" xr:uid="{08CE4E2F-5C9D-4B41-946E-8A255D3B8160}"/>
    <dataValidation allowBlank="1" showInputMessage="1" showErrorMessage="1" prompt="Totalt antall arbeidstimer beregnes automatisk i denne cellen" sqref="C4" xr:uid="{4C6329C0-BB8A-4A54-9324-395CE8DCCAD5}"/>
    <dataValidation allowBlank="1" showInputMessage="1" showErrorMessage="1" prompt="Skriv inn dato i kolonnen under denne overskriften. Bruk overskriftsfiltre til å finne bestemte oppføringer" sqref="B5" xr:uid="{4D468908-E19B-417B-90B4-BF6946889C67}"/>
    <dataValidation allowBlank="1" showInputMessage="1" showErrorMessage="1" prompt="Arbeidstimer beregnes automatisk i kolonnen under denne overskriften" sqref="C5:D5" xr:uid="{E64220E7-31BB-4D2E-B5AF-CCBB49F701AD}"/>
    <dataValidation type="list" showDropDown="1" showInputMessage="1" showErrorMessage="1" sqref="E5" xr:uid="{9D99FEE6-1E68-4655-9243-32062F0A533E}">
      <formula1>$H$6:$H$14</formula1>
    </dataValidation>
  </dataValidations>
  <printOptions horizontalCentered="1"/>
  <pageMargins left="0.4" right="0.4" top="0.4" bottom="0.4" header="0.3" footer="0.3"/>
  <pageSetup paperSize="9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0F7175-7C56-4342-AA4A-56AD199796E9}">
          <x14:formula1>
            <xm:f>DroppdownTable!$B$2:$B$11</xm:f>
          </x14:formula1>
          <xm:sqref>E6:E100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F8EC-9FCC-4088-A56C-160A1AA07E8B}">
  <sheetPr>
    <tabColor rgb="FF92D050"/>
    <pageSetUpPr fitToPage="1"/>
  </sheetPr>
  <dimension ref="B1:K102"/>
  <sheetViews>
    <sheetView showGridLines="0" workbookViewId="0">
      <selection activeCell="C25" sqref="C25"/>
    </sheetView>
  </sheetViews>
  <sheetFormatPr baseColWidth="10" defaultColWidth="9.1640625" defaultRowHeight="15" x14ac:dyDescent="0.2"/>
  <cols>
    <col min="1" max="1" width="2.6640625" customWidth="1"/>
    <col min="2" max="2" width="27.33203125" bestFit="1" customWidth="1"/>
    <col min="3" max="3" width="27.1640625" bestFit="1" customWidth="1"/>
    <col min="4" max="4" width="64.33203125" bestFit="1" customWidth="1"/>
    <col min="5" max="5" width="20.5" bestFit="1" customWidth="1"/>
    <col min="6" max="6" width="2.6640625" customWidth="1"/>
    <col min="8" max="8" width="14.83203125" bestFit="1" customWidth="1"/>
    <col min="9" max="9" width="17.1640625" bestFit="1" customWidth="1"/>
    <col min="10" max="10" width="25" bestFit="1" customWidth="1"/>
    <col min="11" max="11" width="5.83203125" customWidth="1"/>
  </cols>
  <sheetData>
    <row r="1" spans="2:11" ht="35" customHeight="1" thickTop="1" x14ac:dyDescent="0.35">
      <c r="B1" s="1" t="s">
        <v>0</v>
      </c>
      <c r="C1" s="1"/>
      <c r="D1" s="1"/>
      <c r="E1" s="1"/>
      <c r="F1" s="1"/>
    </row>
    <row r="2" spans="2:11" ht="30" customHeight="1" thickBot="1" x14ac:dyDescent="0.25">
      <c r="B2" t="s">
        <v>1</v>
      </c>
    </row>
    <row r="3" spans="2:11" ht="45" customHeight="1" thickBot="1" x14ac:dyDescent="0.25">
      <c r="B3" s="5" t="s">
        <v>45</v>
      </c>
      <c r="C3" s="6" t="s">
        <v>3</v>
      </c>
    </row>
    <row r="4" spans="2:11" ht="30" customHeight="1" thickBot="1" x14ac:dyDescent="0.35">
      <c r="B4" s="2"/>
      <c r="C4" s="7">
        <f>SUBTOTAL(109,Timeliste5711[Antall arbeidstimer])</f>
        <v>201.25</v>
      </c>
    </row>
    <row r="5" spans="2:11" ht="40" customHeight="1" x14ac:dyDescent="0.2">
      <c r="B5" t="s">
        <v>4</v>
      </c>
      <c r="C5" t="s">
        <v>5</v>
      </c>
      <c r="D5" t="s">
        <v>6</v>
      </c>
      <c r="E5" t="s">
        <v>7</v>
      </c>
      <c r="H5" s="22" t="s">
        <v>8</v>
      </c>
      <c r="I5" s="22" t="s">
        <v>9</v>
      </c>
      <c r="J5" s="22" t="s">
        <v>10</v>
      </c>
      <c r="K5" s="22" t="s">
        <v>11</v>
      </c>
    </row>
    <row r="6" spans="2:11" ht="20" customHeight="1" x14ac:dyDescent="0.2">
      <c r="B6" s="3">
        <v>45887</v>
      </c>
      <c r="C6" s="4">
        <v>2</v>
      </c>
      <c r="E6" t="s">
        <v>12</v>
      </c>
      <c r="H6" s="23" t="s">
        <v>13</v>
      </c>
      <c r="I6" s="24">
        <f>COUNTIF(E6:E100, "Programmering")</f>
        <v>5</v>
      </c>
      <c r="J6" s="24">
        <f>SUMIF(E6:E100, "Programmering", C6:C100)</f>
        <v>60</v>
      </c>
      <c r="K6" s="25">
        <f>J6/C4*100</f>
        <v>29.813664596273291</v>
      </c>
    </row>
    <row r="7" spans="2:11" ht="20" customHeight="1" x14ac:dyDescent="0.2">
      <c r="B7" s="3">
        <v>45888</v>
      </c>
      <c r="C7" s="4">
        <v>2</v>
      </c>
      <c r="E7" t="s">
        <v>12</v>
      </c>
      <c r="H7" s="26" t="s">
        <v>14</v>
      </c>
      <c r="I7" s="24">
        <f>COUNTIF(E6:E100, "Raport")</f>
        <v>7</v>
      </c>
      <c r="J7" s="24">
        <f>SUMIF(E6:E100, "Raport", C6:C100)</f>
        <v>36.25</v>
      </c>
      <c r="K7" s="25">
        <f>J7/C4*100</f>
        <v>18.012422360248447</v>
      </c>
    </row>
    <row r="8" spans="2:11" ht="20" customHeight="1" x14ac:dyDescent="0.2">
      <c r="B8" s="3">
        <v>45895</v>
      </c>
      <c r="C8" s="4">
        <v>2</v>
      </c>
      <c r="E8" t="s">
        <v>12</v>
      </c>
      <c r="H8" s="27" t="s">
        <v>15</v>
      </c>
      <c r="I8" s="24">
        <f>COUNTIF(E6:E100, "Møte")</f>
        <v>0</v>
      </c>
      <c r="J8" s="24">
        <f>SUMIF(E6:E100, "Møte", C6:C100)</f>
        <v>0</v>
      </c>
      <c r="K8" s="25">
        <f>J8/C4*100</f>
        <v>0</v>
      </c>
    </row>
    <row r="9" spans="2:11" ht="20" customHeight="1" x14ac:dyDescent="0.2">
      <c r="B9" s="3">
        <v>45901</v>
      </c>
      <c r="C9" s="4">
        <v>2</v>
      </c>
      <c r="E9" t="s">
        <v>12</v>
      </c>
      <c r="H9" s="28" t="s">
        <v>16</v>
      </c>
      <c r="I9" s="24">
        <f>COUNTIF(E6:E100, "Database")</f>
        <v>4</v>
      </c>
      <c r="J9" s="24">
        <f>SUMIF(E6:E100, "Database", C6:C100)</f>
        <v>29</v>
      </c>
      <c r="K9" s="25">
        <f>J9/C4*100</f>
        <v>14.409937888198757</v>
      </c>
    </row>
    <row r="10" spans="2:11" ht="20" customHeight="1" x14ac:dyDescent="0.2">
      <c r="B10" s="3">
        <v>45905</v>
      </c>
      <c r="C10" s="4">
        <v>2</v>
      </c>
      <c r="E10" t="s">
        <v>12</v>
      </c>
      <c r="H10" s="29" t="s">
        <v>17</v>
      </c>
      <c r="I10" s="24">
        <f>COUNTIF(E6:E100, "GitHub")</f>
        <v>8</v>
      </c>
      <c r="J10" s="24">
        <f>SUMIF(E6:E100, "GitHub", C6:C100)</f>
        <v>51</v>
      </c>
      <c r="K10" s="25">
        <f>J10/C4*100</f>
        <v>25.341614906832298</v>
      </c>
    </row>
    <row r="11" spans="2:11" ht="20" customHeight="1" x14ac:dyDescent="0.2">
      <c r="B11" s="3">
        <v>45912</v>
      </c>
      <c r="C11" s="4">
        <v>2</v>
      </c>
      <c r="E11" t="s">
        <v>12</v>
      </c>
      <c r="H11" s="30" t="s">
        <v>18</v>
      </c>
      <c r="I11" s="24">
        <f>COUNTIF(E6:E100, "Administrativt")</f>
        <v>0</v>
      </c>
      <c r="J11" s="24">
        <f>SUMIF(E6:E100, "Administrativt", C6:C100)</f>
        <v>0</v>
      </c>
      <c r="K11" s="25">
        <f>J11/C4*100</f>
        <v>0</v>
      </c>
    </row>
    <row r="12" spans="2:11" ht="20" customHeight="1" x14ac:dyDescent="0.2">
      <c r="B12" s="3">
        <v>45901</v>
      </c>
      <c r="C12" s="4">
        <v>4</v>
      </c>
      <c r="D12" t="s">
        <v>46</v>
      </c>
      <c r="E12" t="s">
        <v>14</v>
      </c>
      <c r="H12" s="31" t="s">
        <v>12</v>
      </c>
      <c r="I12" s="24">
        <f>COUNTIF(E6:E100, "Forelesning/WS")</f>
        <v>8</v>
      </c>
      <c r="J12" s="24">
        <f>SUMIF(E6:E100, "Forelesning/WS", C6:C100)</f>
        <v>16</v>
      </c>
      <c r="K12" s="25">
        <f>J12/C4*100</f>
        <v>7.9503105590062111</v>
      </c>
    </row>
    <row r="13" spans="2:11" ht="20" customHeight="1" x14ac:dyDescent="0.2">
      <c r="B13" s="3">
        <v>45902</v>
      </c>
      <c r="C13" s="4">
        <v>3</v>
      </c>
      <c r="D13" t="s">
        <v>47</v>
      </c>
      <c r="E13" t="s">
        <v>14</v>
      </c>
      <c r="H13" s="32" t="s">
        <v>19</v>
      </c>
      <c r="I13" s="24">
        <f>COUNTIF(E6:E100, "Veiledning")</f>
        <v>0</v>
      </c>
      <c r="J13" s="24">
        <f>SUMIF(E6:E100, "Veiledning", C6:C100)</f>
        <v>0</v>
      </c>
      <c r="K13" s="25">
        <f>J13/C4*100</f>
        <v>0</v>
      </c>
    </row>
    <row r="14" spans="2:11" ht="20" customHeight="1" x14ac:dyDescent="0.2">
      <c r="B14" s="3">
        <v>45910</v>
      </c>
      <c r="C14" s="4">
        <v>6</v>
      </c>
      <c r="D14" t="s">
        <v>48</v>
      </c>
      <c r="E14" t="s">
        <v>14</v>
      </c>
      <c r="H14" s="33" t="s">
        <v>20</v>
      </c>
      <c r="I14" s="24">
        <f>COUNTIF(E6:E100, "Design")</f>
        <v>0</v>
      </c>
      <c r="J14" s="24">
        <f>SUMIF(E6:E100, "Design", C6:C100)</f>
        <v>0</v>
      </c>
      <c r="K14" s="24">
        <f>J14/C4*100</f>
        <v>0</v>
      </c>
    </row>
    <row r="15" spans="2:11" ht="20" customHeight="1" x14ac:dyDescent="0.2">
      <c r="B15" s="3">
        <v>45911</v>
      </c>
      <c r="C15" s="4">
        <v>5.25</v>
      </c>
      <c r="D15" t="s">
        <v>49</v>
      </c>
      <c r="E15" t="s">
        <v>14</v>
      </c>
      <c r="H15" s="24" t="s">
        <v>21</v>
      </c>
      <c r="I15" s="24">
        <f>COUNTIF(E6:E100, "Annet")</f>
        <v>0</v>
      </c>
      <c r="J15" s="24">
        <f>SUMIF(E7:E101, "Annet", C6:C100)</f>
        <v>0</v>
      </c>
      <c r="K15" s="24">
        <f>J15/C4*100</f>
        <v>0</v>
      </c>
    </row>
    <row r="16" spans="2:11" ht="20" customHeight="1" x14ac:dyDescent="0.2">
      <c r="B16" s="3">
        <v>45919</v>
      </c>
      <c r="C16" s="4">
        <v>2</v>
      </c>
      <c r="E16" t="s">
        <v>12</v>
      </c>
    </row>
    <row r="17" spans="2:5" ht="20" customHeight="1" x14ac:dyDescent="0.2">
      <c r="B17" s="3">
        <v>45920</v>
      </c>
      <c r="C17" s="4">
        <v>1</v>
      </c>
      <c r="D17" t="s">
        <v>50</v>
      </c>
      <c r="E17" t="s">
        <v>14</v>
      </c>
    </row>
    <row r="18" spans="2:5" ht="20" customHeight="1" x14ac:dyDescent="0.2">
      <c r="B18" s="3">
        <v>45921</v>
      </c>
      <c r="C18" s="4">
        <v>3</v>
      </c>
      <c r="D18" t="s">
        <v>51</v>
      </c>
      <c r="E18" t="s">
        <v>17</v>
      </c>
    </row>
    <row r="19" spans="2:5" ht="20" customHeight="1" x14ac:dyDescent="0.2">
      <c r="B19" s="3">
        <v>45922</v>
      </c>
      <c r="C19" s="4">
        <v>2</v>
      </c>
      <c r="E19" t="s">
        <v>12</v>
      </c>
    </row>
    <row r="20" spans="2:5" ht="20" customHeight="1" x14ac:dyDescent="0.2">
      <c r="B20" s="3">
        <v>45936</v>
      </c>
      <c r="C20" s="4">
        <v>3</v>
      </c>
      <c r="D20" t="s">
        <v>52</v>
      </c>
      <c r="E20" t="s">
        <v>17</v>
      </c>
    </row>
    <row r="21" spans="2:5" ht="20" customHeight="1" x14ac:dyDescent="0.2">
      <c r="B21" s="3">
        <v>45949</v>
      </c>
      <c r="C21" s="4">
        <v>9</v>
      </c>
      <c r="D21" t="s">
        <v>53</v>
      </c>
    </row>
    <row r="22" spans="2:5" ht="20" customHeight="1" x14ac:dyDescent="0.2">
      <c r="B22" s="3">
        <v>45950</v>
      </c>
      <c r="C22" s="4">
        <v>7</v>
      </c>
      <c r="D22" t="s">
        <v>54</v>
      </c>
      <c r="E22" t="s">
        <v>17</v>
      </c>
    </row>
    <row r="23" spans="2:5" ht="20" customHeight="1" x14ac:dyDescent="0.2">
      <c r="B23" s="3">
        <v>45951</v>
      </c>
      <c r="C23" s="4">
        <v>5</v>
      </c>
      <c r="D23" t="s">
        <v>55</v>
      </c>
      <c r="E23" t="s">
        <v>17</v>
      </c>
    </row>
    <row r="24" spans="2:5" ht="20" customHeight="1" x14ac:dyDescent="0.2">
      <c r="B24" s="3">
        <v>45953</v>
      </c>
      <c r="C24" s="4">
        <v>12</v>
      </c>
      <c r="D24" t="s">
        <v>56</v>
      </c>
      <c r="E24" t="s">
        <v>13</v>
      </c>
    </row>
    <row r="25" spans="2:5" ht="20" customHeight="1" x14ac:dyDescent="0.2">
      <c r="B25" s="3" t="s">
        <v>95</v>
      </c>
      <c r="C25" s="4">
        <v>15</v>
      </c>
      <c r="D25" t="s">
        <v>96</v>
      </c>
      <c r="E25" t="s">
        <v>17</v>
      </c>
    </row>
    <row r="26" spans="2:5" ht="20" customHeight="1" x14ac:dyDescent="0.2">
      <c r="B26" s="3">
        <v>45958</v>
      </c>
      <c r="C26" s="4">
        <v>8</v>
      </c>
      <c r="D26" t="s">
        <v>97</v>
      </c>
      <c r="E26" t="s">
        <v>17</v>
      </c>
    </row>
    <row r="27" spans="2:5" ht="20" customHeight="1" x14ac:dyDescent="0.2">
      <c r="B27" s="3">
        <v>45959</v>
      </c>
      <c r="C27" s="4">
        <v>12</v>
      </c>
      <c r="D27" t="s">
        <v>98</v>
      </c>
      <c r="E27" t="s">
        <v>13</v>
      </c>
    </row>
    <row r="28" spans="2:5" ht="20" customHeight="1" x14ac:dyDescent="0.2">
      <c r="B28" s="3">
        <v>45965</v>
      </c>
      <c r="C28" s="4">
        <v>5</v>
      </c>
      <c r="D28" t="s">
        <v>99</v>
      </c>
      <c r="E28" t="s">
        <v>16</v>
      </c>
    </row>
    <row r="29" spans="2:5" ht="20" customHeight="1" x14ac:dyDescent="0.2">
      <c r="B29" s="3" t="s">
        <v>100</v>
      </c>
      <c r="C29" s="4">
        <v>10</v>
      </c>
      <c r="D29" t="s">
        <v>101</v>
      </c>
      <c r="E29" t="s">
        <v>13</v>
      </c>
    </row>
    <row r="30" spans="2:5" ht="20" customHeight="1" x14ac:dyDescent="0.2">
      <c r="B30" s="3" t="s">
        <v>102</v>
      </c>
      <c r="C30" s="4">
        <v>8</v>
      </c>
      <c r="D30" t="s">
        <v>103</v>
      </c>
      <c r="E30" t="s">
        <v>16</v>
      </c>
    </row>
    <row r="31" spans="2:5" ht="20" customHeight="1" x14ac:dyDescent="0.2">
      <c r="B31" s="3">
        <v>45970</v>
      </c>
      <c r="C31" s="4">
        <v>14</v>
      </c>
      <c r="D31" t="s">
        <v>104</v>
      </c>
      <c r="E31" t="s">
        <v>13</v>
      </c>
    </row>
    <row r="32" spans="2:5" ht="20" customHeight="1" x14ac:dyDescent="0.2">
      <c r="B32" s="3">
        <v>45971</v>
      </c>
      <c r="C32" s="4">
        <v>6</v>
      </c>
      <c r="D32" t="s">
        <v>105</v>
      </c>
      <c r="E32" t="s">
        <v>16</v>
      </c>
    </row>
    <row r="33" spans="2:5" ht="20" customHeight="1" x14ac:dyDescent="0.2">
      <c r="B33" s="3">
        <v>45972</v>
      </c>
      <c r="C33" s="4">
        <v>4</v>
      </c>
      <c r="D33" t="s">
        <v>106</v>
      </c>
      <c r="E33" t="s">
        <v>17</v>
      </c>
    </row>
    <row r="34" spans="2:5" ht="20" customHeight="1" x14ac:dyDescent="0.2">
      <c r="B34" s="3" t="s">
        <v>107</v>
      </c>
      <c r="C34" s="4">
        <v>10</v>
      </c>
      <c r="D34" t="s">
        <v>108</v>
      </c>
      <c r="E34" t="s">
        <v>16</v>
      </c>
    </row>
    <row r="35" spans="2:5" ht="20" customHeight="1" x14ac:dyDescent="0.2">
      <c r="B35" s="3" t="s">
        <v>109</v>
      </c>
      <c r="C35" s="4">
        <v>12</v>
      </c>
      <c r="D35" t="s">
        <v>110</v>
      </c>
      <c r="E35" t="s">
        <v>13</v>
      </c>
    </row>
    <row r="36" spans="2:5" ht="20" customHeight="1" x14ac:dyDescent="0.2">
      <c r="B36" s="3">
        <v>45980</v>
      </c>
      <c r="C36" s="4">
        <v>6</v>
      </c>
      <c r="D36" t="s">
        <v>111</v>
      </c>
      <c r="E36" t="s">
        <v>17</v>
      </c>
    </row>
    <row r="37" spans="2:5" ht="20" customHeight="1" x14ac:dyDescent="0.2">
      <c r="B37" s="3">
        <v>45980</v>
      </c>
      <c r="C37" s="4">
        <v>9</v>
      </c>
      <c r="D37" t="s">
        <v>112</v>
      </c>
      <c r="E37" t="s">
        <v>14</v>
      </c>
    </row>
    <row r="38" spans="2:5" ht="20" customHeight="1" x14ac:dyDescent="0.2">
      <c r="B38" s="3">
        <v>45981</v>
      </c>
      <c r="C38" s="4">
        <v>8</v>
      </c>
      <c r="D38" t="s">
        <v>113</v>
      </c>
      <c r="E38" t="s">
        <v>14</v>
      </c>
    </row>
    <row r="39" spans="2:5" ht="20" customHeight="1" x14ac:dyDescent="0.2">
      <c r="B39" s="3" t="s">
        <v>38</v>
      </c>
      <c r="C39" s="4">
        <v>0</v>
      </c>
    </row>
    <row r="40" spans="2:5" ht="20" customHeight="1" x14ac:dyDescent="0.2">
      <c r="B40" s="3" t="s">
        <v>38</v>
      </c>
      <c r="C40" s="4">
        <v>0</v>
      </c>
    </row>
    <row r="41" spans="2:5" ht="20" customHeight="1" x14ac:dyDescent="0.2">
      <c r="B41" s="3" t="s">
        <v>38</v>
      </c>
      <c r="C41" s="4">
        <v>0</v>
      </c>
    </row>
    <row r="42" spans="2:5" ht="20" customHeight="1" x14ac:dyDescent="0.2">
      <c r="B42" s="3" t="s">
        <v>38</v>
      </c>
      <c r="C42" s="4">
        <v>0</v>
      </c>
    </row>
    <row r="43" spans="2:5" ht="20" customHeight="1" x14ac:dyDescent="0.2">
      <c r="B43" s="3" t="s">
        <v>38</v>
      </c>
      <c r="C43" s="4">
        <v>0</v>
      </c>
    </row>
    <row r="44" spans="2:5" ht="20" customHeight="1" x14ac:dyDescent="0.2">
      <c r="B44" s="3" t="s">
        <v>38</v>
      </c>
      <c r="C44" s="4">
        <v>0</v>
      </c>
    </row>
    <row r="45" spans="2:5" ht="20" customHeight="1" x14ac:dyDescent="0.2">
      <c r="B45" s="3" t="s">
        <v>38</v>
      </c>
      <c r="C45" s="4">
        <v>0</v>
      </c>
    </row>
    <row r="46" spans="2:5" ht="20" customHeight="1" x14ac:dyDescent="0.2">
      <c r="B46" s="3" t="s">
        <v>38</v>
      </c>
      <c r="C46" s="4">
        <v>0</v>
      </c>
    </row>
    <row r="47" spans="2:5" ht="20" customHeight="1" x14ac:dyDescent="0.2">
      <c r="B47" s="3" t="s">
        <v>38</v>
      </c>
      <c r="C47" s="4">
        <v>0</v>
      </c>
    </row>
    <row r="48" spans="2:5" ht="20" customHeight="1" x14ac:dyDescent="0.2">
      <c r="B48" s="3" t="s">
        <v>38</v>
      </c>
      <c r="C48" s="4">
        <v>0</v>
      </c>
    </row>
    <row r="49" spans="2:3" ht="20" customHeight="1" x14ac:dyDescent="0.2">
      <c r="B49" s="3" t="s">
        <v>38</v>
      </c>
      <c r="C49" s="4">
        <v>0</v>
      </c>
    </row>
    <row r="50" spans="2:3" ht="20" customHeight="1" x14ac:dyDescent="0.2">
      <c r="B50" s="3" t="s">
        <v>38</v>
      </c>
      <c r="C50" s="4">
        <v>0</v>
      </c>
    </row>
    <row r="51" spans="2:3" ht="20" customHeight="1" x14ac:dyDescent="0.2">
      <c r="B51" s="3" t="s">
        <v>38</v>
      </c>
      <c r="C51" s="4">
        <v>0</v>
      </c>
    </row>
    <row r="52" spans="2:3" ht="20" customHeight="1" x14ac:dyDescent="0.2">
      <c r="B52" s="3" t="s">
        <v>38</v>
      </c>
      <c r="C52" s="4">
        <v>0</v>
      </c>
    </row>
    <row r="53" spans="2:3" ht="20" customHeight="1" x14ac:dyDescent="0.2">
      <c r="B53" s="3" t="s">
        <v>38</v>
      </c>
      <c r="C53" s="4">
        <v>0</v>
      </c>
    </row>
    <row r="54" spans="2:3" ht="20" customHeight="1" x14ac:dyDescent="0.2">
      <c r="B54" s="3" t="s">
        <v>38</v>
      </c>
      <c r="C54" s="4">
        <v>0</v>
      </c>
    </row>
    <row r="55" spans="2:3" ht="20" customHeight="1" x14ac:dyDescent="0.2">
      <c r="B55" s="3" t="s">
        <v>38</v>
      </c>
      <c r="C55" s="4">
        <v>0</v>
      </c>
    </row>
    <row r="56" spans="2:3" ht="20" customHeight="1" x14ac:dyDescent="0.2">
      <c r="B56" s="3" t="s">
        <v>38</v>
      </c>
      <c r="C56" s="4">
        <v>0</v>
      </c>
    </row>
    <row r="57" spans="2:3" ht="20" customHeight="1" x14ac:dyDescent="0.2">
      <c r="B57" s="3" t="s">
        <v>38</v>
      </c>
      <c r="C57" s="4">
        <v>0</v>
      </c>
    </row>
    <row r="58" spans="2:3" ht="20" customHeight="1" x14ac:dyDescent="0.2">
      <c r="B58" s="3" t="s">
        <v>38</v>
      </c>
      <c r="C58" s="4">
        <v>0</v>
      </c>
    </row>
    <row r="59" spans="2:3" ht="20" customHeight="1" x14ac:dyDescent="0.2">
      <c r="B59" s="3" t="s">
        <v>38</v>
      </c>
      <c r="C59" s="4">
        <v>0</v>
      </c>
    </row>
    <row r="60" spans="2:3" ht="20" customHeight="1" x14ac:dyDescent="0.2">
      <c r="B60" s="3" t="s">
        <v>38</v>
      </c>
      <c r="C60" s="4">
        <v>0</v>
      </c>
    </row>
    <row r="61" spans="2:3" ht="20" customHeight="1" x14ac:dyDescent="0.2">
      <c r="B61" s="3" t="s">
        <v>38</v>
      </c>
      <c r="C61" s="4">
        <v>0</v>
      </c>
    </row>
    <row r="62" spans="2:3" ht="20" customHeight="1" x14ac:dyDescent="0.2">
      <c r="B62" s="3" t="s">
        <v>38</v>
      </c>
      <c r="C62" s="4">
        <v>0</v>
      </c>
    </row>
    <row r="63" spans="2:3" ht="20" customHeight="1" x14ac:dyDescent="0.2">
      <c r="B63" s="3" t="s">
        <v>38</v>
      </c>
      <c r="C63" s="4">
        <v>0</v>
      </c>
    </row>
    <row r="64" spans="2:3" ht="20" customHeight="1" x14ac:dyDescent="0.2">
      <c r="B64" s="3" t="s">
        <v>38</v>
      </c>
      <c r="C64" s="4">
        <v>0</v>
      </c>
    </row>
    <row r="65" spans="2:3" ht="20" customHeight="1" x14ac:dyDescent="0.2">
      <c r="B65" s="3" t="s">
        <v>38</v>
      </c>
      <c r="C65" s="4">
        <v>0</v>
      </c>
    </row>
    <row r="66" spans="2:3" ht="20" customHeight="1" x14ac:dyDescent="0.2">
      <c r="B66" s="3" t="s">
        <v>38</v>
      </c>
      <c r="C66" s="4">
        <v>0</v>
      </c>
    </row>
    <row r="67" spans="2:3" ht="20" customHeight="1" x14ac:dyDescent="0.2">
      <c r="B67" s="3" t="s">
        <v>38</v>
      </c>
      <c r="C67" s="4">
        <v>0</v>
      </c>
    </row>
    <row r="68" spans="2:3" ht="20" customHeight="1" x14ac:dyDescent="0.2">
      <c r="B68" s="3" t="s">
        <v>38</v>
      </c>
      <c r="C68" s="4">
        <v>0</v>
      </c>
    </row>
    <row r="69" spans="2:3" ht="20" customHeight="1" x14ac:dyDescent="0.2">
      <c r="B69" s="3" t="s">
        <v>38</v>
      </c>
      <c r="C69" s="4">
        <v>0</v>
      </c>
    </row>
    <row r="70" spans="2:3" ht="20" customHeight="1" x14ac:dyDescent="0.2">
      <c r="B70" s="3" t="s">
        <v>38</v>
      </c>
      <c r="C70" s="4">
        <v>0</v>
      </c>
    </row>
    <row r="71" spans="2:3" ht="20" customHeight="1" x14ac:dyDescent="0.2">
      <c r="B71" s="3" t="s">
        <v>38</v>
      </c>
      <c r="C71" s="4">
        <v>0</v>
      </c>
    </row>
    <row r="72" spans="2:3" ht="20" customHeight="1" x14ac:dyDescent="0.2">
      <c r="B72" s="3" t="s">
        <v>38</v>
      </c>
      <c r="C72" s="4">
        <v>0</v>
      </c>
    </row>
    <row r="73" spans="2:3" ht="20" customHeight="1" x14ac:dyDescent="0.2">
      <c r="B73" s="3" t="s">
        <v>38</v>
      </c>
      <c r="C73" s="4">
        <v>0</v>
      </c>
    </row>
    <row r="74" spans="2:3" ht="20" customHeight="1" x14ac:dyDescent="0.2">
      <c r="B74" s="3" t="s">
        <v>38</v>
      </c>
      <c r="C74" s="4">
        <v>0</v>
      </c>
    </row>
    <row r="75" spans="2:3" ht="20" customHeight="1" x14ac:dyDescent="0.2">
      <c r="B75" s="3" t="s">
        <v>38</v>
      </c>
      <c r="C75" s="4">
        <v>0</v>
      </c>
    </row>
    <row r="76" spans="2:3" ht="20" customHeight="1" x14ac:dyDescent="0.2">
      <c r="B76" s="3" t="s">
        <v>38</v>
      </c>
      <c r="C76" s="4">
        <v>0</v>
      </c>
    </row>
    <row r="77" spans="2:3" ht="20" customHeight="1" x14ac:dyDescent="0.2">
      <c r="B77" s="3" t="s">
        <v>38</v>
      </c>
      <c r="C77" s="4">
        <v>0</v>
      </c>
    </row>
    <row r="78" spans="2:3" ht="20" customHeight="1" x14ac:dyDescent="0.2">
      <c r="B78" s="3" t="s">
        <v>38</v>
      </c>
      <c r="C78" s="4">
        <v>0</v>
      </c>
    </row>
    <row r="79" spans="2:3" ht="20" customHeight="1" x14ac:dyDescent="0.2">
      <c r="B79" s="3" t="s">
        <v>38</v>
      </c>
      <c r="C79" s="4">
        <v>0</v>
      </c>
    </row>
    <row r="80" spans="2:3" ht="20" customHeight="1" x14ac:dyDescent="0.2">
      <c r="B80" s="3" t="s">
        <v>38</v>
      </c>
      <c r="C80" s="4">
        <v>0</v>
      </c>
    </row>
    <row r="81" spans="2:3" ht="20" customHeight="1" x14ac:dyDescent="0.2">
      <c r="B81" s="3" t="s">
        <v>38</v>
      </c>
      <c r="C81" s="4">
        <v>0</v>
      </c>
    </row>
    <row r="82" spans="2:3" ht="20" customHeight="1" x14ac:dyDescent="0.2">
      <c r="B82" s="3" t="s">
        <v>38</v>
      </c>
      <c r="C82" s="4">
        <v>0</v>
      </c>
    </row>
    <row r="83" spans="2:3" ht="20" customHeight="1" x14ac:dyDescent="0.2">
      <c r="B83" s="3" t="s">
        <v>38</v>
      </c>
      <c r="C83" s="4">
        <v>0</v>
      </c>
    </row>
    <row r="84" spans="2:3" ht="20" customHeight="1" x14ac:dyDescent="0.2">
      <c r="B84" s="3" t="s">
        <v>38</v>
      </c>
      <c r="C84" s="4">
        <v>0</v>
      </c>
    </row>
    <row r="85" spans="2:3" ht="20" customHeight="1" x14ac:dyDescent="0.2">
      <c r="B85" s="3" t="s">
        <v>38</v>
      </c>
      <c r="C85" s="4">
        <v>0</v>
      </c>
    </row>
    <row r="86" spans="2:3" ht="20" customHeight="1" x14ac:dyDescent="0.2">
      <c r="B86" s="3" t="s">
        <v>38</v>
      </c>
      <c r="C86" s="4">
        <v>0</v>
      </c>
    </row>
    <row r="87" spans="2:3" ht="20" customHeight="1" x14ac:dyDescent="0.2">
      <c r="B87" s="3" t="s">
        <v>38</v>
      </c>
      <c r="C87" s="4">
        <v>0</v>
      </c>
    </row>
    <row r="88" spans="2:3" ht="20" customHeight="1" x14ac:dyDescent="0.2">
      <c r="B88" s="3" t="s">
        <v>38</v>
      </c>
      <c r="C88" s="4">
        <v>0</v>
      </c>
    </row>
    <row r="89" spans="2:3" ht="20" customHeight="1" x14ac:dyDescent="0.2">
      <c r="B89" s="3" t="s">
        <v>38</v>
      </c>
      <c r="C89" s="4">
        <v>0</v>
      </c>
    </row>
    <row r="90" spans="2:3" ht="20" customHeight="1" x14ac:dyDescent="0.2">
      <c r="B90" s="3" t="s">
        <v>38</v>
      </c>
      <c r="C90" s="4">
        <v>0</v>
      </c>
    </row>
    <row r="91" spans="2:3" ht="20" customHeight="1" x14ac:dyDescent="0.2">
      <c r="B91" s="3" t="s">
        <v>38</v>
      </c>
      <c r="C91" s="4">
        <v>0</v>
      </c>
    </row>
    <row r="92" spans="2:3" ht="20" customHeight="1" x14ac:dyDescent="0.2">
      <c r="B92" s="3" t="s">
        <v>38</v>
      </c>
      <c r="C92" s="4">
        <v>0</v>
      </c>
    </row>
    <row r="93" spans="2:3" ht="20" customHeight="1" x14ac:dyDescent="0.2">
      <c r="B93" s="3" t="s">
        <v>38</v>
      </c>
      <c r="C93" s="4">
        <v>0</v>
      </c>
    </row>
    <row r="94" spans="2:3" ht="20" customHeight="1" x14ac:dyDescent="0.2">
      <c r="B94" s="3" t="s">
        <v>38</v>
      </c>
      <c r="C94" s="4">
        <v>0</v>
      </c>
    </row>
    <row r="95" spans="2:3" ht="20" customHeight="1" x14ac:dyDescent="0.2">
      <c r="B95" s="3" t="s">
        <v>38</v>
      </c>
      <c r="C95" s="4">
        <v>0</v>
      </c>
    </row>
    <row r="96" spans="2:3" ht="20" customHeight="1" x14ac:dyDescent="0.2">
      <c r="B96" s="3" t="s">
        <v>38</v>
      </c>
      <c r="C96" s="4">
        <v>0</v>
      </c>
    </row>
    <row r="97" spans="2:3" ht="20" customHeight="1" x14ac:dyDescent="0.2">
      <c r="B97" s="3" t="s">
        <v>38</v>
      </c>
      <c r="C97" s="4">
        <v>0</v>
      </c>
    </row>
    <row r="98" spans="2:3" ht="20" customHeight="1" x14ac:dyDescent="0.2">
      <c r="B98" s="3" t="s">
        <v>38</v>
      </c>
      <c r="C98" s="4">
        <v>0</v>
      </c>
    </row>
    <row r="99" spans="2:3" ht="20" customHeight="1" x14ac:dyDescent="0.2">
      <c r="B99" s="3" t="s">
        <v>38</v>
      </c>
      <c r="C99" s="4">
        <v>0</v>
      </c>
    </row>
    <row r="100" spans="2:3" ht="20" customHeight="1" x14ac:dyDescent="0.2">
      <c r="B100" s="3" t="s">
        <v>38</v>
      </c>
      <c r="C100" s="4">
        <v>0</v>
      </c>
    </row>
    <row r="101" spans="2:3" ht="20" customHeight="1" x14ac:dyDescent="0.2"/>
    <row r="102" spans="2:3" ht="20" customHeight="1" x14ac:dyDescent="0.2"/>
  </sheetData>
  <dataValidations count="12">
    <dataValidation allowBlank="1" showInputMessage="1" showErrorMessage="1" prompt="Arbeidstimer beregnes automatisk i kolonnen under denne overskriften" sqref="C5:D5" xr:uid="{3402141B-74AB-4B6E-8AFE-70D8967A1C9B}"/>
    <dataValidation allowBlank="1" showInputMessage="1" showErrorMessage="1" prompt="Skriv inn dato i kolonnen under denne overskriften. Bruk overskriftsfiltre til å finne bestemte oppføringer" sqref="B5" xr:uid="{34C74DE6-50B5-4196-ADC4-623649DA97BF}"/>
    <dataValidation allowBlank="1" showInputMessage="1" showErrorMessage="1" prompt="Totalt antall arbeidstimer beregnes automatisk i denne cellen" sqref="C4" xr:uid="{95388B81-C82D-439A-8979-90A0053B1338}"/>
    <dataValidation allowBlank="1" showInputMessage="1" showErrorMessage="1" prompt="Skriv inn totale arbeidstimer for uken i denne cellen" sqref="B4" xr:uid="{5E3C398C-DD46-41E5-91B9-7A2EA9534769}"/>
    <dataValidation allowBlank="1" showInputMessage="1" showErrorMessage="1" prompt="Totale arbeidstimer beregnes automatisk i cellen nedenfor" sqref="C3" xr:uid="{8356A0F8-6920-4582-80AA-64C8176187B7}"/>
    <dataValidation allowBlank="1" showInputMessage="1" showErrorMessage="1" prompt="Skriv inn totalt antall arbeidstimer uke i cellen under" sqref="B3" xr:uid="{9886D1A4-D88D-4038-BCB5-8B03BB5B3D20}"/>
    <dataValidation allowBlank="1" showInputMessage="1" showErrorMessage="1" prompt="Skriv inn den ansattes e-postadresse i denne cellen" sqref="C2" xr:uid="{34E77B8E-0114-4E9C-92DF-B98D5F269C5A}"/>
    <dataValidation allowBlank="1" showInputMessage="1" showErrorMessage="1" prompt="Skriv inn den ansattes navn i denne cellen" sqref="B2" xr:uid="{CEBF08EB-FEBC-43D0-AEC1-74485065B307}"/>
    <dataValidation allowBlank="1" showInputMessage="1" showErrorMessage="1" prompt="Tittelen på regnearket vises i denne cellen.  Skriv inn detaljer om den ansatte og leder i cellene under" sqref="B1" xr:uid="{20C1D97B-2687-4B4F-AFEA-B43028AAD8D7}"/>
    <dataValidation allowBlank="1" showInputMessage="1" showErrorMessage="1" prompt="Bruk dette regnearket til å spore antall arbeidstimer i en arbeidsuke. Skriv inn dato og klokkeslett i Timeliste-tabellen. Totalt antall timer, ordinære timer og overtidstimer blir automatisk kalkulert i rad 6" sqref="A1" xr:uid="{345A706B-F1DD-4750-A75B-DC92A40B8A60}"/>
    <dataValidation allowBlank="1" showErrorMessage="1" sqref="C1:XFD1 A2:A1048576 E101:E1048576 B60:C1048576 D2:E4 D18:D19 D24 D56:D57 B59:D59 D61:D1048576 D6:D16 I2:XFD1048576 F2:G1048576 H16:H1048576 H2:H5 B6:C58 D37 D39:D53" xr:uid="{893958E3-2FD5-459E-8DFD-0FD6242CB20A}"/>
    <dataValidation type="list" showDropDown="1" showInputMessage="1" showErrorMessage="1" sqref="E5" xr:uid="{A1521653-E30D-450D-9411-5ECD5597AAFB}">
      <formula1>$H$6:$H$14</formula1>
    </dataValidation>
  </dataValidations>
  <pageMargins left="0.4" right="0.4" top="0.4" bottom="0.4" header="0.3" footer="0.3"/>
  <pageSetup paperSize="9" fitToHeight="0" orientation="landscape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7E05F0-EE84-4756-A716-F07576F3CC47}">
          <x14:formula1>
            <xm:f>DroppdownTable!$B$2:$B$11</xm:f>
          </x14:formula1>
          <xm:sqref>E6:E100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7102-6EA1-4E21-8A00-5BA1D3490424}">
  <sheetPr>
    <tabColor rgb="FFFF0000"/>
    <pageSetUpPr fitToPage="1"/>
  </sheetPr>
  <dimension ref="B1:K105"/>
  <sheetViews>
    <sheetView showGridLines="0" workbookViewId="0">
      <selection activeCell="E42" sqref="E42"/>
    </sheetView>
  </sheetViews>
  <sheetFormatPr baseColWidth="10" defaultColWidth="9.1640625" defaultRowHeight="15" x14ac:dyDescent="0.2"/>
  <cols>
    <col min="1" max="1" width="2.6640625" customWidth="1"/>
    <col min="2" max="2" width="27.33203125" bestFit="1" customWidth="1"/>
    <col min="3" max="3" width="27.1640625" bestFit="1" customWidth="1"/>
    <col min="4" max="4" width="64.33203125" bestFit="1" customWidth="1"/>
    <col min="5" max="5" width="20.5" bestFit="1" customWidth="1"/>
    <col min="6" max="6" width="2.6640625" customWidth="1"/>
    <col min="8" max="8" width="14.83203125" bestFit="1" customWidth="1"/>
    <col min="9" max="9" width="17.1640625" bestFit="1" customWidth="1"/>
    <col min="10" max="10" width="25" bestFit="1" customWidth="1"/>
    <col min="11" max="11" width="5.83203125" customWidth="1"/>
  </cols>
  <sheetData>
    <row r="1" spans="2:11" ht="35" customHeight="1" thickTop="1" x14ac:dyDescent="0.35">
      <c r="B1" s="1" t="s">
        <v>0</v>
      </c>
      <c r="C1" s="1"/>
      <c r="D1" s="1"/>
      <c r="E1" s="1"/>
      <c r="F1" s="1"/>
    </row>
    <row r="2" spans="2:11" ht="30" customHeight="1" thickBot="1" x14ac:dyDescent="0.25">
      <c r="B2" t="s">
        <v>1</v>
      </c>
    </row>
    <row r="3" spans="2:11" ht="45" customHeight="1" thickBot="1" x14ac:dyDescent="0.25">
      <c r="B3" s="5" t="s">
        <v>39</v>
      </c>
      <c r="C3" s="6" t="s">
        <v>3</v>
      </c>
    </row>
    <row r="4" spans="2:11" ht="30" customHeight="1" thickBot="1" x14ac:dyDescent="0.35">
      <c r="B4" s="2"/>
      <c r="C4" s="7">
        <f>SUBTOTAL(109,Timeliste5712[Antall arbeidstimer])</f>
        <v>76.8</v>
      </c>
    </row>
    <row r="5" spans="2:11" ht="40" customHeight="1" x14ac:dyDescent="0.2">
      <c r="B5" t="s">
        <v>4</v>
      </c>
      <c r="C5" t="s">
        <v>5</v>
      </c>
      <c r="D5" t="s">
        <v>6</v>
      </c>
      <c r="E5" t="s">
        <v>7</v>
      </c>
      <c r="H5" s="22" t="s">
        <v>8</v>
      </c>
      <c r="I5" s="22" t="s">
        <v>9</v>
      </c>
      <c r="J5" s="22" t="s">
        <v>10</v>
      </c>
      <c r="K5" s="22" t="s">
        <v>11</v>
      </c>
    </row>
    <row r="6" spans="2:11" ht="20" customHeight="1" x14ac:dyDescent="0.2">
      <c r="B6" s="3">
        <v>45887</v>
      </c>
      <c r="C6" s="4">
        <v>2</v>
      </c>
      <c r="E6" t="s">
        <v>12</v>
      </c>
      <c r="H6" s="23" t="s">
        <v>13</v>
      </c>
      <c r="I6" s="24">
        <f>COUNTIF(E6:E100, "Programmering")</f>
        <v>1</v>
      </c>
      <c r="J6" s="24">
        <f>SUMIF(E6:E100, "Programmering", C6:C100)</f>
        <v>4</v>
      </c>
      <c r="K6" s="25">
        <f>J6/C4*100</f>
        <v>5.2083333333333339</v>
      </c>
    </row>
    <row r="7" spans="2:11" ht="20" customHeight="1" x14ac:dyDescent="0.2">
      <c r="B7" s="3">
        <v>45888</v>
      </c>
      <c r="C7" s="4">
        <v>2</v>
      </c>
      <c r="E7" t="s">
        <v>12</v>
      </c>
      <c r="H7" s="26" t="s">
        <v>14</v>
      </c>
      <c r="I7" s="24">
        <f>COUNTIF(E6:E100, "Raport")</f>
        <v>6</v>
      </c>
      <c r="J7" s="24">
        <f>SUMIF(E6:E100, "Raport", C6:C100)</f>
        <v>8.3000000000000007</v>
      </c>
      <c r="K7" s="25">
        <f>J7/C4*100</f>
        <v>10.807291666666668</v>
      </c>
    </row>
    <row r="8" spans="2:11" ht="20" customHeight="1" x14ac:dyDescent="0.2">
      <c r="B8" s="3">
        <v>45891</v>
      </c>
      <c r="C8" s="4">
        <v>2</v>
      </c>
      <c r="E8" t="s">
        <v>12</v>
      </c>
      <c r="H8" s="27" t="s">
        <v>15</v>
      </c>
      <c r="I8" s="24">
        <f>COUNTIF(E6:E100, "Møte")</f>
        <v>2</v>
      </c>
      <c r="J8" s="24">
        <f>SUMIF(E6:E100, "Møte", C6:C100)</f>
        <v>4</v>
      </c>
      <c r="K8" s="25">
        <f>J8/C4*100</f>
        <v>5.2083333333333339</v>
      </c>
    </row>
    <row r="9" spans="2:11" ht="20" customHeight="1" x14ac:dyDescent="0.2">
      <c r="B9" s="3">
        <v>45894</v>
      </c>
      <c r="C9" s="4">
        <v>2</v>
      </c>
      <c r="E9" t="s">
        <v>12</v>
      </c>
      <c r="H9" s="28" t="s">
        <v>16</v>
      </c>
      <c r="I9" s="24">
        <f>COUNTIF(E6:E100, "Database")</f>
        <v>0</v>
      </c>
      <c r="J9" s="24">
        <f>SUMIF(E6:E100, "Database", C6:C100)</f>
        <v>0</v>
      </c>
      <c r="K9" s="25">
        <f>J9/C4*100</f>
        <v>0</v>
      </c>
    </row>
    <row r="10" spans="2:11" ht="20" customHeight="1" x14ac:dyDescent="0.2">
      <c r="B10" s="3">
        <v>45895</v>
      </c>
      <c r="C10" s="4">
        <v>2</v>
      </c>
      <c r="E10" t="s">
        <v>12</v>
      </c>
      <c r="H10" s="29" t="s">
        <v>17</v>
      </c>
      <c r="I10" s="24">
        <f>COUNTIF(E6:E100, "GitHub")</f>
        <v>0</v>
      </c>
      <c r="J10" s="24">
        <f>SUMIF(E6:E100, "GitHub", C6:C100)</f>
        <v>0</v>
      </c>
      <c r="K10" s="25">
        <f>J10/C4*100</f>
        <v>0</v>
      </c>
    </row>
    <row r="11" spans="2:11" ht="20" customHeight="1" x14ac:dyDescent="0.2">
      <c r="B11" s="3">
        <v>45901</v>
      </c>
      <c r="C11" s="4">
        <v>2</v>
      </c>
      <c r="E11" t="s">
        <v>12</v>
      </c>
      <c r="H11" s="30" t="s">
        <v>18</v>
      </c>
      <c r="I11" s="24">
        <f>COUNTIF(E6:E100, "Administrativt")</f>
        <v>0</v>
      </c>
      <c r="J11" s="24">
        <f>SUMIF(E6:E100, "Administrativt", C6:C100)</f>
        <v>0</v>
      </c>
      <c r="K11" s="25">
        <f>J11/C4*100</f>
        <v>0</v>
      </c>
    </row>
    <row r="12" spans="2:11" ht="20" customHeight="1" x14ac:dyDescent="0.2">
      <c r="B12" s="3">
        <v>45901</v>
      </c>
      <c r="C12" s="4">
        <v>1</v>
      </c>
      <c r="E12" t="s">
        <v>14</v>
      </c>
      <c r="H12" s="31" t="s">
        <v>12</v>
      </c>
      <c r="I12" s="24">
        <f>COUNTIF(E6:E100, "Forelesning/WS")</f>
        <v>24</v>
      </c>
      <c r="J12" s="24">
        <f>SUMIF(E6:E100, "Forelesning/WS", C6:C100)</f>
        <v>48</v>
      </c>
      <c r="K12" s="25">
        <f>J12/C4*100</f>
        <v>62.5</v>
      </c>
    </row>
    <row r="13" spans="2:11" ht="20" customHeight="1" x14ac:dyDescent="0.2">
      <c r="B13" s="3">
        <v>45903</v>
      </c>
      <c r="C13" s="4">
        <v>0.5</v>
      </c>
      <c r="E13" t="s">
        <v>19</v>
      </c>
      <c r="H13" s="32" t="s">
        <v>19</v>
      </c>
      <c r="I13" s="24">
        <f>COUNTIF(E6:E100, "Veiledning")</f>
        <v>2</v>
      </c>
      <c r="J13" s="24">
        <f>SUMIF(E6:E100, "Veiledning", C6:C100)</f>
        <v>1.5</v>
      </c>
      <c r="K13" s="25">
        <f>J13/C4*100</f>
        <v>1.953125</v>
      </c>
    </row>
    <row r="14" spans="2:11" ht="20" customHeight="1" x14ac:dyDescent="0.2">
      <c r="B14" s="3">
        <v>45905</v>
      </c>
      <c r="C14" s="4">
        <v>2</v>
      </c>
      <c r="E14" t="s">
        <v>12</v>
      </c>
      <c r="H14" s="33" t="s">
        <v>20</v>
      </c>
      <c r="I14" s="24">
        <f>COUNTIF(E6:E100, "Design")</f>
        <v>2</v>
      </c>
      <c r="J14" s="24">
        <f>SUMIF(E6:E100, "Design", C6:C100)</f>
        <v>7</v>
      </c>
      <c r="K14" s="24">
        <f>J14/C4*100</f>
        <v>9.1145833333333339</v>
      </c>
    </row>
    <row r="15" spans="2:11" ht="20" customHeight="1" x14ac:dyDescent="0.2">
      <c r="B15" s="3">
        <v>45908</v>
      </c>
      <c r="C15" s="4">
        <v>2</v>
      </c>
      <c r="E15" t="s">
        <v>12</v>
      </c>
      <c r="H15" s="24" t="s">
        <v>21</v>
      </c>
      <c r="I15" s="24">
        <f>COUNTIF(E6:E100, "Annet")</f>
        <v>2</v>
      </c>
      <c r="J15" s="24">
        <f>SUMIF(E7:E101, "Annet", C6:C100)</f>
        <v>7</v>
      </c>
      <c r="K15" s="24">
        <f>J15/C4*100</f>
        <v>9.1145833333333339</v>
      </c>
    </row>
    <row r="16" spans="2:11" ht="20" customHeight="1" x14ac:dyDescent="0.2">
      <c r="B16" s="3">
        <v>45912</v>
      </c>
      <c r="C16" s="4">
        <v>2</v>
      </c>
      <c r="E16" t="s">
        <v>12</v>
      </c>
    </row>
    <row r="17" spans="2:5" ht="20" customHeight="1" x14ac:dyDescent="0.2">
      <c r="B17" s="3">
        <v>45912</v>
      </c>
      <c r="C17" s="4">
        <v>1.3</v>
      </c>
      <c r="E17" t="s">
        <v>14</v>
      </c>
    </row>
    <row r="18" spans="2:5" ht="20" customHeight="1" x14ac:dyDescent="0.2">
      <c r="B18" s="3">
        <v>45915</v>
      </c>
      <c r="C18" s="4">
        <v>2</v>
      </c>
      <c r="E18" t="s">
        <v>12</v>
      </c>
    </row>
    <row r="19" spans="2:5" ht="20" customHeight="1" x14ac:dyDescent="0.2">
      <c r="B19" s="3">
        <v>45919</v>
      </c>
      <c r="C19" s="4">
        <v>2</v>
      </c>
      <c r="E19" t="s">
        <v>12</v>
      </c>
    </row>
    <row r="20" spans="2:5" ht="20" customHeight="1" x14ac:dyDescent="0.2">
      <c r="B20" s="3">
        <v>45922</v>
      </c>
      <c r="C20" s="4">
        <v>2</v>
      </c>
      <c r="E20" t="s">
        <v>12</v>
      </c>
    </row>
    <row r="21" spans="2:5" ht="20" customHeight="1" x14ac:dyDescent="0.2">
      <c r="B21" s="3">
        <v>45929</v>
      </c>
      <c r="C21" s="4">
        <v>2</v>
      </c>
      <c r="E21" t="s">
        <v>12</v>
      </c>
    </row>
    <row r="22" spans="2:5" ht="20" customHeight="1" x14ac:dyDescent="0.2">
      <c r="B22" s="3">
        <v>45936</v>
      </c>
      <c r="C22" s="4">
        <v>2</v>
      </c>
      <c r="E22" t="s">
        <v>12</v>
      </c>
    </row>
    <row r="23" spans="2:5" ht="20" customHeight="1" x14ac:dyDescent="0.2">
      <c r="B23" s="3">
        <v>45936</v>
      </c>
      <c r="C23" s="4">
        <v>2</v>
      </c>
      <c r="E23" t="s">
        <v>14</v>
      </c>
    </row>
    <row r="24" spans="2:5" ht="20" customHeight="1" x14ac:dyDescent="0.2">
      <c r="B24" s="3">
        <v>45937</v>
      </c>
      <c r="C24" s="4">
        <v>2</v>
      </c>
      <c r="E24" t="s">
        <v>12</v>
      </c>
    </row>
    <row r="25" spans="2:5" ht="20" customHeight="1" x14ac:dyDescent="0.2">
      <c r="B25" s="3">
        <v>45940</v>
      </c>
      <c r="C25" s="4">
        <v>2</v>
      </c>
      <c r="E25" t="s">
        <v>12</v>
      </c>
    </row>
    <row r="26" spans="2:5" ht="20" customHeight="1" x14ac:dyDescent="0.2">
      <c r="B26" s="3">
        <v>45943</v>
      </c>
      <c r="C26" s="4">
        <v>2</v>
      </c>
      <c r="E26" t="s">
        <v>12</v>
      </c>
    </row>
    <row r="27" spans="2:5" ht="20" customHeight="1" x14ac:dyDescent="0.2">
      <c r="B27" s="3">
        <v>45947</v>
      </c>
      <c r="C27" s="4">
        <v>2</v>
      </c>
      <c r="E27" t="s">
        <v>12</v>
      </c>
    </row>
    <row r="28" spans="2:5" ht="20" customHeight="1" x14ac:dyDescent="0.2">
      <c r="B28" s="3">
        <v>45950</v>
      </c>
      <c r="C28" s="4">
        <v>2</v>
      </c>
      <c r="E28" t="s">
        <v>12</v>
      </c>
    </row>
    <row r="29" spans="2:5" ht="20" customHeight="1" x14ac:dyDescent="0.2">
      <c r="B29" s="3">
        <v>45951</v>
      </c>
      <c r="C29" s="4">
        <v>2</v>
      </c>
      <c r="E29" t="s">
        <v>12</v>
      </c>
    </row>
    <row r="30" spans="2:5" ht="20" customHeight="1" x14ac:dyDescent="0.2">
      <c r="B30" s="3">
        <v>45953</v>
      </c>
      <c r="C30" s="4">
        <v>2</v>
      </c>
      <c r="E30" t="s">
        <v>12</v>
      </c>
    </row>
    <row r="31" spans="2:5" ht="20" customHeight="1" x14ac:dyDescent="0.2">
      <c r="B31" s="3">
        <v>45954</v>
      </c>
      <c r="C31" s="4">
        <v>2</v>
      </c>
      <c r="E31" t="s">
        <v>12</v>
      </c>
    </row>
    <row r="32" spans="2:5" ht="20" customHeight="1" x14ac:dyDescent="0.2">
      <c r="B32" s="3">
        <v>45955</v>
      </c>
      <c r="C32" s="4">
        <v>4</v>
      </c>
      <c r="D32" t="s">
        <v>40</v>
      </c>
      <c r="E32" t="s">
        <v>13</v>
      </c>
    </row>
    <row r="33" spans="2:5" ht="20" customHeight="1" x14ac:dyDescent="0.2">
      <c r="B33" s="3">
        <v>45955</v>
      </c>
      <c r="C33" s="4">
        <v>1</v>
      </c>
      <c r="D33" t="s">
        <v>41</v>
      </c>
      <c r="E33" t="s">
        <v>21</v>
      </c>
    </row>
    <row r="34" spans="2:5" ht="20" customHeight="1" x14ac:dyDescent="0.2">
      <c r="B34" s="3">
        <v>45955</v>
      </c>
      <c r="C34" s="4">
        <v>1</v>
      </c>
      <c r="E34" t="s">
        <v>14</v>
      </c>
    </row>
    <row r="35" spans="2:5" ht="20" customHeight="1" x14ac:dyDescent="0.2">
      <c r="B35" s="3">
        <v>45957</v>
      </c>
      <c r="C35" s="4">
        <v>2</v>
      </c>
      <c r="E35" t="s">
        <v>12</v>
      </c>
    </row>
    <row r="36" spans="2:5" ht="20" customHeight="1" x14ac:dyDescent="0.2">
      <c r="B36" s="3">
        <v>45958</v>
      </c>
      <c r="C36" s="4">
        <v>2</v>
      </c>
      <c r="E36" t="s">
        <v>12</v>
      </c>
    </row>
    <row r="37" spans="2:5" ht="20" customHeight="1" x14ac:dyDescent="0.2">
      <c r="B37" s="3">
        <v>45965</v>
      </c>
      <c r="C37" s="4">
        <v>2</v>
      </c>
      <c r="D37" t="s">
        <v>33</v>
      </c>
      <c r="E37" t="s">
        <v>15</v>
      </c>
    </row>
    <row r="38" spans="2:5" ht="20" customHeight="1" x14ac:dyDescent="0.2">
      <c r="B38" s="3">
        <v>45965</v>
      </c>
      <c r="C38" s="4">
        <v>3</v>
      </c>
      <c r="D38" t="s">
        <v>42</v>
      </c>
      <c r="E38" t="s">
        <v>20</v>
      </c>
    </row>
    <row r="39" spans="2:5" ht="20" customHeight="1" x14ac:dyDescent="0.2">
      <c r="B39" s="3">
        <v>45965</v>
      </c>
      <c r="C39" s="4">
        <v>3</v>
      </c>
      <c r="D39" t="s">
        <v>43</v>
      </c>
      <c r="E39" t="s">
        <v>21</v>
      </c>
    </row>
    <row r="40" spans="2:5" ht="20" customHeight="1" x14ac:dyDescent="0.2">
      <c r="B40" s="3">
        <v>45966</v>
      </c>
      <c r="C40" s="4">
        <v>2</v>
      </c>
      <c r="E40" t="s">
        <v>15</v>
      </c>
    </row>
    <row r="41" spans="2:5" ht="20" customHeight="1" x14ac:dyDescent="0.2">
      <c r="B41" s="3">
        <v>45966</v>
      </c>
      <c r="C41" s="4">
        <v>4</v>
      </c>
      <c r="D41" t="s">
        <v>44</v>
      </c>
      <c r="E41" t="s">
        <v>20</v>
      </c>
    </row>
    <row r="42" spans="2:5" ht="20" customHeight="1" x14ac:dyDescent="0.2">
      <c r="B42" s="3">
        <v>45973</v>
      </c>
      <c r="C42" s="4">
        <v>1</v>
      </c>
      <c r="E42" t="s">
        <v>19</v>
      </c>
    </row>
    <row r="43" spans="2:5" ht="20" customHeight="1" x14ac:dyDescent="0.2">
      <c r="B43" s="3">
        <v>45980</v>
      </c>
      <c r="C43" s="4">
        <v>1</v>
      </c>
      <c r="E43" t="s">
        <v>14</v>
      </c>
    </row>
    <row r="44" spans="2:5" ht="20" customHeight="1" x14ac:dyDescent="0.2">
      <c r="B44" s="3">
        <v>45982</v>
      </c>
      <c r="C44" s="4">
        <v>2</v>
      </c>
      <c r="E44" t="s">
        <v>14</v>
      </c>
    </row>
    <row r="45" spans="2:5" ht="20" customHeight="1" x14ac:dyDescent="0.2">
      <c r="B45" s="3" t="s">
        <v>38</v>
      </c>
      <c r="C45" s="4">
        <v>0</v>
      </c>
    </row>
    <row r="46" spans="2:5" ht="20" customHeight="1" x14ac:dyDescent="0.2">
      <c r="B46" s="3" t="s">
        <v>38</v>
      </c>
      <c r="C46" s="4">
        <v>0</v>
      </c>
    </row>
    <row r="47" spans="2:5" ht="20" customHeight="1" x14ac:dyDescent="0.2">
      <c r="B47" s="3" t="s">
        <v>38</v>
      </c>
      <c r="C47" s="4">
        <v>0</v>
      </c>
    </row>
    <row r="48" spans="2:5" ht="20" customHeight="1" x14ac:dyDescent="0.2">
      <c r="B48" s="3" t="s">
        <v>38</v>
      </c>
      <c r="C48" s="4">
        <v>0</v>
      </c>
    </row>
    <row r="49" spans="2:3" ht="20" customHeight="1" x14ac:dyDescent="0.2">
      <c r="B49" s="3" t="s">
        <v>38</v>
      </c>
      <c r="C49" s="4">
        <v>0</v>
      </c>
    </row>
    <row r="50" spans="2:3" ht="20" customHeight="1" x14ac:dyDescent="0.2">
      <c r="B50" s="3" t="s">
        <v>38</v>
      </c>
      <c r="C50" s="4">
        <v>0</v>
      </c>
    </row>
    <row r="51" spans="2:3" ht="20" customHeight="1" x14ac:dyDescent="0.2">
      <c r="B51" s="3" t="s">
        <v>38</v>
      </c>
      <c r="C51" s="4">
        <v>0</v>
      </c>
    </row>
    <row r="52" spans="2:3" ht="20" customHeight="1" x14ac:dyDescent="0.2">
      <c r="B52" s="3" t="s">
        <v>38</v>
      </c>
      <c r="C52" s="4">
        <v>0</v>
      </c>
    </row>
    <row r="53" spans="2:3" ht="20" customHeight="1" x14ac:dyDescent="0.2">
      <c r="B53" s="3" t="s">
        <v>38</v>
      </c>
      <c r="C53" s="4">
        <v>0</v>
      </c>
    </row>
    <row r="54" spans="2:3" ht="20" customHeight="1" x14ac:dyDescent="0.2">
      <c r="B54" s="3" t="s">
        <v>38</v>
      </c>
      <c r="C54" s="4">
        <v>0</v>
      </c>
    </row>
    <row r="55" spans="2:3" ht="20" customHeight="1" x14ac:dyDescent="0.2">
      <c r="B55" s="3" t="s">
        <v>38</v>
      </c>
      <c r="C55" s="4">
        <v>0</v>
      </c>
    </row>
    <row r="56" spans="2:3" ht="20" customHeight="1" x14ac:dyDescent="0.2">
      <c r="B56" s="3" t="s">
        <v>38</v>
      </c>
      <c r="C56" s="4">
        <v>0</v>
      </c>
    </row>
    <row r="57" spans="2:3" ht="20" customHeight="1" x14ac:dyDescent="0.2">
      <c r="B57" s="3" t="s">
        <v>38</v>
      </c>
      <c r="C57" s="4">
        <v>0</v>
      </c>
    </row>
    <row r="58" spans="2:3" ht="20" customHeight="1" x14ac:dyDescent="0.2">
      <c r="B58" s="3" t="s">
        <v>38</v>
      </c>
      <c r="C58" s="4">
        <v>0</v>
      </c>
    </row>
    <row r="59" spans="2:3" ht="20" customHeight="1" x14ac:dyDescent="0.2">
      <c r="B59" s="3" t="s">
        <v>38</v>
      </c>
      <c r="C59" s="4">
        <v>0</v>
      </c>
    </row>
    <row r="60" spans="2:3" ht="20" customHeight="1" x14ac:dyDescent="0.2">
      <c r="B60" s="3" t="s">
        <v>38</v>
      </c>
      <c r="C60" s="4">
        <v>0</v>
      </c>
    </row>
    <row r="61" spans="2:3" ht="20" customHeight="1" x14ac:dyDescent="0.2">
      <c r="B61" s="3" t="s">
        <v>38</v>
      </c>
      <c r="C61" s="4">
        <v>0</v>
      </c>
    </row>
    <row r="62" spans="2:3" ht="20" customHeight="1" x14ac:dyDescent="0.2">
      <c r="B62" s="3" t="s">
        <v>38</v>
      </c>
      <c r="C62" s="4">
        <v>0</v>
      </c>
    </row>
    <row r="63" spans="2:3" ht="20" customHeight="1" x14ac:dyDescent="0.2">
      <c r="B63" s="3" t="s">
        <v>38</v>
      </c>
      <c r="C63" s="4">
        <v>0</v>
      </c>
    </row>
    <row r="64" spans="2:3" ht="20" customHeight="1" x14ac:dyDescent="0.2">
      <c r="B64" s="3" t="s">
        <v>38</v>
      </c>
      <c r="C64" s="4">
        <v>0</v>
      </c>
    </row>
    <row r="65" spans="2:3" ht="20" customHeight="1" x14ac:dyDescent="0.2">
      <c r="B65" s="3" t="s">
        <v>38</v>
      </c>
      <c r="C65" s="4">
        <v>0</v>
      </c>
    </row>
    <row r="66" spans="2:3" ht="20" customHeight="1" x14ac:dyDescent="0.2">
      <c r="B66" s="3" t="s">
        <v>38</v>
      </c>
      <c r="C66" s="4">
        <v>0</v>
      </c>
    </row>
    <row r="67" spans="2:3" ht="20" customHeight="1" x14ac:dyDescent="0.2">
      <c r="B67" s="3" t="s">
        <v>38</v>
      </c>
      <c r="C67" s="4">
        <v>0</v>
      </c>
    </row>
    <row r="68" spans="2:3" ht="20" customHeight="1" x14ac:dyDescent="0.2">
      <c r="B68" s="3" t="s">
        <v>38</v>
      </c>
      <c r="C68" s="4">
        <v>0</v>
      </c>
    </row>
    <row r="69" spans="2:3" ht="20" customHeight="1" x14ac:dyDescent="0.2">
      <c r="B69" s="3" t="s">
        <v>38</v>
      </c>
      <c r="C69" s="4">
        <v>0</v>
      </c>
    </row>
    <row r="70" spans="2:3" ht="20" customHeight="1" x14ac:dyDescent="0.2">
      <c r="B70" s="3" t="s">
        <v>38</v>
      </c>
      <c r="C70" s="4">
        <v>0</v>
      </c>
    </row>
    <row r="71" spans="2:3" ht="20" customHeight="1" x14ac:dyDescent="0.2">
      <c r="B71" s="3" t="s">
        <v>38</v>
      </c>
      <c r="C71" s="4">
        <v>0</v>
      </c>
    </row>
    <row r="72" spans="2:3" ht="20" customHeight="1" x14ac:dyDescent="0.2">
      <c r="B72" s="3" t="s">
        <v>38</v>
      </c>
      <c r="C72" s="4">
        <v>0</v>
      </c>
    </row>
    <row r="73" spans="2:3" ht="20" customHeight="1" x14ac:dyDescent="0.2">
      <c r="B73" s="3" t="s">
        <v>38</v>
      </c>
      <c r="C73" s="4">
        <v>0</v>
      </c>
    </row>
    <row r="74" spans="2:3" ht="20" customHeight="1" x14ac:dyDescent="0.2">
      <c r="B74" s="3" t="s">
        <v>38</v>
      </c>
      <c r="C74" s="4">
        <v>0</v>
      </c>
    </row>
    <row r="75" spans="2:3" ht="20" customHeight="1" x14ac:dyDescent="0.2">
      <c r="B75" s="3" t="s">
        <v>38</v>
      </c>
      <c r="C75" s="4">
        <v>0</v>
      </c>
    </row>
    <row r="76" spans="2:3" ht="20" customHeight="1" x14ac:dyDescent="0.2">
      <c r="B76" s="3" t="s">
        <v>38</v>
      </c>
      <c r="C76" s="4">
        <v>0</v>
      </c>
    </row>
    <row r="77" spans="2:3" ht="20" customHeight="1" x14ac:dyDescent="0.2">
      <c r="B77" s="3" t="s">
        <v>38</v>
      </c>
      <c r="C77" s="4">
        <v>0</v>
      </c>
    </row>
    <row r="78" spans="2:3" ht="20" customHeight="1" x14ac:dyDescent="0.2">
      <c r="B78" s="3" t="s">
        <v>38</v>
      </c>
      <c r="C78" s="4">
        <v>0</v>
      </c>
    </row>
    <row r="79" spans="2:3" ht="20" customHeight="1" x14ac:dyDescent="0.2">
      <c r="B79" s="3" t="s">
        <v>38</v>
      </c>
      <c r="C79" s="4">
        <v>0</v>
      </c>
    </row>
    <row r="80" spans="2:3" ht="20" customHeight="1" x14ac:dyDescent="0.2">
      <c r="B80" s="3" t="s">
        <v>38</v>
      </c>
      <c r="C80" s="4">
        <v>0</v>
      </c>
    </row>
    <row r="81" spans="2:3" ht="20" customHeight="1" x14ac:dyDescent="0.2">
      <c r="B81" s="3" t="s">
        <v>38</v>
      </c>
      <c r="C81" s="4">
        <v>0</v>
      </c>
    </row>
    <row r="82" spans="2:3" ht="20" customHeight="1" x14ac:dyDescent="0.2">
      <c r="B82" s="3" t="s">
        <v>38</v>
      </c>
      <c r="C82" s="4">
        <v>0</v>
      </c>
    </row>
    <row r="83" spans="2:3" ht="20" customHeight="1" x14ac:dyDescent="0.2">
      <c r="B83" s="3" t="s">
        <v>38</v>
      </c>
      <c r="C83" s="4">
        <v>0</v>
      </c>
    </row>
    <row r="84" spans="2:3" ht="20" customHeight="1" x14ac:dyDescent="0.2">
      <c r="B84" s="3" t="s">
        <v>38</v>
      </c>
      <c r="C84" s="4">
        <v>0</v>
      </c>
    </row>
    <row r="85" spans="2:3" ht="20" customHeight="1" x14ac:dyDescent="0.2">
      <c r="B85" s="3" t="s">
        <v>38</v>
      </c>
      <c r="C85" s="4">
        <v>0</v>
      </c>
    </row>
    <row r="86" spans="2:3" ht="20" customHeight="1" x14ac:dyDescent="0.2">
      <c r="B86" s="3" t="s">
        <v>38</v>
      </c>
      <c r="C86" s="4">
        <v>0</v>
      </c>
    </row>
    <row r="87" spans="2:3" ht="20" customHeight="1" x14ac:dyDescent="0.2">
      <c r="B87" s="3" t="s">
        <v>38</v>
      </c>
      <c r="C87" s="4">
        <v>0</v>
      </c>
    </row>
    <row r="88" spans="2:3" ht="20" customHeight="1" x14ac:dyDescent="0.2">
      <c r="B88" s="3" t="s">
        <v>38</v>
      </c>
      <c r="C88" s="4">
        <v>0</v>
      </c>
    </row>
    <row r="89" spans="2:3" ht="20" customHeight="1" x14ac:dyDescent="0.2">
      <c r="B89" s="3" t="s">
        <v>38</v>
      </c>
      <c r="C89" s="4">
        <v>0</v>
      </c>
    </row>
    <row r="90" spans="2:3" ht="20" customHeight="1" x14ac:dyDescent="0.2">
      <c r="B90" s="3" t="s">
        <v>38</v>
      </c>
      <c r="C90" s="4">
        <v>0</v>
      </c>
    </row>
    <row r="91" spans="2:3" ht="20" customHeight="1" x14ac:dyDescent="0.2">
      <c r="B91" s="3" t="s">
        <v>38</v>
      </c>
      <c r="C91" s="4">
        <v>0</v>
      </c>
    </row>
    <row r="92" spans="2:3" ht="20" customHeight="1" x14ac:dyDescent="0.2">
      <c r="B92" s="3" t="s">
        <v>38</v>
      </c>
      <c r="C92" s="4">
        <v>0</v>
      </c>
    </row>
    <row r="93" spans="2:3" ht="20" customHeight="1" x14ac:dyDescent="0.2">
      <c r="B93" s="3" t="s">
        <v>38</v>
      </c>
      <c r="C93" s="4">
        <v>0</v>
      </c>
    </row>
    <row r="94" spans="2:3" ht="20" customHeight="1" x14ac:dyDescent="0.2">
      <c r="B94" s="3" t="s">
        <v>38</v>
      </c>
      <c r="C94" s="4">
        <v>0</v>
      </c>
    </row>
    <row r="95" spans="2:3" ht="20" customHeight="1" x14ac:dyDescent="0.2">
      <c r="B95" s="3" t="s">
        <v>38</v>
      </c>
      <c r="C95" s="4">
        <v>0</v>
      </c>
    </row>
    <row r="96" spans="2:3" ht="20" customHeight="1" x14ac:dyDescent="0.2">
      <c r="B96" s="3" t="s">
        <v>38</v>
      </c>
      <c r="C96" s="4">
        <v>0</v>
      </c>
    </row>
    <row r="97" spans="2:3" ht="20" customHeight="1" x14ac:dyDescent="0.2">
      <c r="B97" s="3" t="s">
        <v>38</v>
      </c>
      <c r="C97" s="4">
        <v>0</v>
      </c>
    </row>
    <row r="98" spans="2:3" ht="20" customHeight="1" x14ac:dyDescent="0.2">
      <c r="B98" s="3" t="s">
        <v>38</v>
      </c>
      <c r="C98" s="4">
        <v>0</v>
      </c>
    </row>
    <row r="99" spans="2:3" ht="20" customHeight="1" x14ac:dyDescent="0.2">
      <c r="B99" s="3" t="s">
        <v>38</v>
      </c>
      <c r="C99" s="4">
        <v>0</v>
      </c>
    </row>
    <row r="100" spans="2:3" ht="20" customHeight="1" x14ac:dyDescent="0.2">
      <c r="B100" s="3" t="s">
        <v>38</v>
      </c>
      <c r="C100" s="4">
        <v>0</v>
      </c>
    </row>
    <row r="101" spans="2:3" ht="20" customHeight="1" x14ac:dyDescent="0.2"/>
    <row r="102" spans="2:3" ht="20" customHeight="1" x14ac:dyDescent="0.2"/>
    <row r="103" spans="2:3" ht="20" customHeight="1" x14ac:dyDescent="0.2"/>
    <row r="104" spans="2:3" ht="20" customHeight="1" x14ac:dyDescent="0.2"/>
    <row r="105" spans="2:3" ht="20" customHeight="1" x14ac:dyDescent="0.2"/>
  </sheetData>
  <dataValidations count="12">
    <dataValidation allowBlank="1" showInputMessage="1" showErrorMessage="1" prompt="Arbeidstimer beregnes automatisk i kolonnen under denne overskriften" sqref="C5:D5" xr:uid="{9F603E70-FD96-485E-95CE-9E1CFD6BED91}"/>
    <dataValidation allowBlank="1" showInputMessage="1" showErrorMessage="1" prompt="Skriv inn dato i kolonnen under denne overskriften. Bruk overskriftsfiltre til å finne bestemte oppføringer" sqref="B5" xr:uid="{91455FD3-055D-4657-AE53-23516980848D}"/>
    <dataValidation allowBlank="1" showInputMessage="1" showErrorMessage="1" prompt="Totalt antall arbeidstimer beregnes automatisk i denne cellen" sqref="C4" xr:uid="{6FA3BDE0-D4F4-457B-9629-1157BA3F0017}"/>
    <dataValidation allowBlank="1" showInputMessage="1" showErrorMessage="1" prompt="Skriv inn totale arbeidstimer for uken i denne cellen" sqref="B4" xr:uid="{035356A8-7A15-462C-9B8E-1CCEFE5277AA}"/>
    <dataValidation allowBlank="1" showInputMessage="1" showErrorMessage="1" prompt="Totale arbeidstimer beregnes automatisk i cellen nedenfor" sqref="C3" xr:uid="{C49BBD62-9856-4D27-A09D-6D0A3F8E9E1A}"/>
    <dataValidation allowBlank="1" showInputMessage="1" showErrorMessage="1" prompt="Skriv inn totalt antall arbeidstimer uke i cellen under" sqref="B3" xr:uid="{35C749A3-F567-4952-8C6A-4A819538B443}"/>
    <dataValidation allowBlank="1" showInputMessage="1" showErrorMessage="1" prompt="Skriv inn den ansattes e-postadresse i denne cellen" sqref="C2" xr:uid="{E41FDD2A-88FD-4A28-A8B8-214AD5A2C76A}"/>
    <dataValidation allowBlank="1" showInputMessage="1" showErrorMessage="1" prompt="Skriv inn den ansattes navn i denne cellen" sqref="B2" xr:uid="{CB883EF3-E2D0-42CA-8B89-8BDA3436C843}"/>
    <dataValidation allowBlank="1" showInputMessage="1" showErrorMessage="1" prompt="Tittelen på regnearket vises i denne cellen.  Skriv inn detaljer om den ansatte og leder i cellene under" sqref="B1" xr:uid="{A8A81978-582B-48A3-9F3B-9299B1925647}"/>
    <dataValidation allowBlank="1" showInputMessage="1" showErrorMessage="1" prompt="Bruk dette regnearket til å spore antall arbeidstimer i en arbeidsuke. Skriv inn dato og klokkeslett i Timeliste-tabellen. Totalt antall timer, ordinære timer og overtidstimer blir automatisk kalkulert i rad 6" sqref="A1" xr:uid="{21FEA3A8-324D-4B88-85DD-9B0923A23225}"/>
    <dataValidation allowBlank="1" showErrorMessage="1" sqref="C1:XFD1 A2:A1048576 E101:E1048576 B60:C1048576 D2:E4 D18:D20 B24:D25 B6:C23 D56:D57 B59:D59 D61:D1048576 D6:D16 I2:XFD1048576 F2:G1048576 H16:H1048576 H2:H5 D28:D53 B26:C58" xr:uid="{3A2EB02C-796B-4413-BB3A-D7F45BAF0C69}"/>
    <dataValidation type="list" showDropDown="1" showInputMessage="1" showErrorMessage="1" sqref="E5" xr:uid="{61D2644F-F537-4B36-A94F-686144D8DC55}">
      <formula1>$H$6:$H$14</formula1>
    </dataValidation>
  </dataValidations>
  <pageMargins left="0.4" right="0.4" top="0.4" bottom="0.4" header="0.3" footer="0.3"/>
  <pageSetup paperSize="9" fitToHeight="0" orientation="landscape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5371C8-2837-4EEC-ABCF-A82C3429D26F}">
          <x14:formula1>
            <xm:f>DroppdownTable!$B$2:$B$11</xm:f>
          </x14:formula1>
          <xm:sqref>E6:E100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AFBD-4F52-4D6F-9EFE-1AA3A314EFAA}">
  <sheetPr>
    <tabColor rgb="FFD498C4"/>
    <pageSetUpPr fitToPage="1"/>
  </sheetPr>
  <dimension ref="B1:K110"/>
  <sheetViews>
    <sheetView showGridLines="0" tabSelected="1" topLeftCell="A36" workbookViewId="0">
      <selection activeCell="C50" sqref="C50"/>
    </sheetView>
  </sheetViews>
  <sheetFormatPr baseColWidth="10" defaultColWidth="9.1640625" defaultRowHeight="15" x14ac:dyDescent="0.2"/>
  <cols>
    <col min="1" max="1" width="2.6640625" customWidth="1"/>
    <col min="2" max="2" width="27.33203125" bestFit="1" customWidth="1"/>
    <col min="3" max="3" width="27.1640625" bestFit="1" customWidth="1"/>
    <col min="4" max="4" width="64.33203125" bestFit="1" customWidth="1"/>
    <col min="5" max="5" width="20.5" bestFit="1" customWidth="1"/>
    <col min="6" max="6" width="2.6640625" customWidth="1"/>
    <col min="8" max="8" width="14.83203125" bestFit="1" customWidth="1"/>
    <col min="9" max="9" width="17.1640625" bestFit="1" customWidth="1"/>
    <col min="10" max="10" width="25" bestFit="1" customWidth="1"/>
    <col min="11" max="11" width="5.83203125" customWidth="1"/>
  </cols>
  <sheetData>
    <row r="1" spans="2:11" ht="35" customHeight="1" thickTop="1" x14ac:dyDescent="0.35">
      <c r="B1" s="1" t="s">
        <v>0</v>
      </c>
      <c r="C1" s="1"/>
      <c r="D1" s="1"/>
      <c r="E1" s="1"/>
      <c r="F1" s="1"/>
    </row>
    <row r="2" spans="2:11" ht="30" customHeight="1" thickBot="1" x14ac:dyDescent="0.25">
      <c r="B2" t="s">
        <v>1</v>
      </c>
    </row>
    <row r="3" spans="2:11" ht="45" customHeight="1" thickBot="1" x14ac:dyDescent="0.25">
      <c r="B3" s="5" t="s">
        <v>57</v>
      </c>
      <c r="C3" s="6" t="s">
        <v>3</v>
      </c>
    </row>
    <row r="4" spans="2:11" ht="30" customHeight="1" thickBot="1" x14ac:dyDescent="0.35">
      <c r="B4" s="2"/>
      <c r="C4" s="7">
        <f>SUBTOTAL(109,Timeliste5713[Antall arbeidstimer])</f>
        <v>188.5</v>
      </c>
    </row>
    <row r="5" spans="2:11" ht="40" customHeight="1" x14ac:dyDescent="0.2">
      <c r="B5" t="s">
        <v>4</v>
      </c>
      <c r="C5" t="s">
        <v>5</v>
      </c>
      <c r="D5" t="s">
        <v>6</v>
      </c>
      <c r="E5" t="s">
        <v>7</v>
      </c>
      <c r="H5" s="22" t="s">
        <v>8</v>
      </c>
      <c r="I5" s="22" t="s">
        <v>9</v>
      </c>
      <c r="J5" s="22" t="s">
        <v>10</v>
      </c>
      <c r="K5" s="22" t="s">
        <v>11</v>
      </c>
    </row>
    <row r="6" spans="2:11" ht="20" customHeight="1" x14ac:dyDescent="0.2">
      <c r="B6" s="3">
        <v>45887</v>
      </c>
      <c r="C6" s="4">
        <v>2</v>
      </c>
      <c r="E6" t="s">
        <v>12</v>
      </c>
      <c r="H6" s="23" t="s">
        <v>13</v>
      </c>
      <c r="I6" s="24">
        <f>COUNTIF(E6:E110, "Programmering")</f>
        <v>3</v>
      </c>
      <c r="J6" s="24">
        <f>SUMIF(E6:E110, "Programmering", C6:C110)</f>
        <v>18</v>
      </c>
      <c r="K6" s="25">
        <f>J6/C4*100</f>
        <v>9.549071618037134</v>
      </c>
    </row>
    <row r="7" spans="2:11" ht="20" customHeight="1" x14ac:dyDescent="0.2">
      <c r="B7" s="3">
        <v>45888</v>
      </c>
      <c r="C7" s="4">
        <v>2</v>
      </c>
      <c r="E7" t="s">
        <v>12</v>
      </c>
      <c r="H7" s="26" t="s">
        <v>14</v>
      </c>
      <c r="I7" s="24">
        <f>COUNTIF(E6:E110, "Raport")</f>
        <v>12</v>
      </c>
      <c r="J7" s="24">
        <f>SUMIF(E6:E110, "Raport", C6:C110)</f>
        <v>30</v>
      </c>
      <c r="K7" s="25">
        <f>J7/C4*100</f>
        <v>15.915119363395224</v>
      </c>
    </row>
    <row r="8" spans="2:11" ht="20" customHeight="1" x14ac:dyDescent="0.2">
      <c r="B8" s="3">
        <v>45891</v>
      </c>
      <c r="C8" s="4">
        <v>2</v>
      </c>
      <c r="D8" t="s">
        <v>25</v>
      </c>
      <c r="E8" t="s">
        <v>12</v>
      </c>
      <c r="H8" s="27" t="s">
        <v>15</v>
      </c>
      <c r="I8" s="24">
        <f>COUNTIF(E6:E110, "Møte")</f>
        <v>2</v>
      </c>
      <c r="J8" s="24">
        <f>SUMIF(E6:E110, "Møte", C6:C110)</f>
        <v>4</v>
      </c>
      <c r="K8" s="25">
        <f>J8/C4*100</f>
        <v>2.1220159151193632</v>
      </c>
    </row>
    <row r="9" spans="2:11" ht="20" customHeight="1" x14ac:dyDescent="0.2">
      <c r="B9" s="3">
        <v>45894</v>
      </c>
      <c r="C9" s="4">
        <v>2</v>
      </c>
      <c r="E9" t="s">
        <v>12</v>
      </c>
      <c r="H9" s="28" t="s">
        <v>16</v>
      </c>
      <c r="I9" s="24">
        <f>COUNTIF(E6:E110, "Database")</f>
        <v>6</v>
      </c>
      <c r="J9" s="24">
        <f>SUMIF(E6:E110, "Database", C6:C110)</f>
        <v>26</v>
      </c>
      <c r="K9" s="25">
        <f>J9/C4*100</f>
        <v>13.793103448275861</v>
      </c>
    </row>
    <row r="10" spans="2:11" ht="20" customHeight="1" x14ac:dyDescent="0.2">
      <c r="B10" s="3">
        <v>45895</v>
      </c>
      <c r="C10" s="4">
        <v>2</v>
      </c>
      <c r="D10" t="s">
        <v>25</v>
      </c>
      <c r="E10" t="s">
        <v>12</v>
      </c>
      <c r="H10" s="29" t="s">
        <v>17</v>
      </c>
      <c r="I10" s="24">
        <f>COUNTIF(E6:E110, "GitHub")</f>
        <v>3</v>
      </c>
      <c r="J10" s="24">
        <f>SUMIF(E6:E110, "GitHub", C6:C110)</f>
        <v>4</v>
      </c>
      <c r="K10" s="25">
        <f>J10/C4*100</f>
        <v>2.1220159151193632</v>
      </c>
    </row>
    <row r="11" spans="2:11" ht="20" customHeight="1" x14ac:dyDescent="0.2">
      <c r="B11" s="3">
        <v>45901</v>
      </c>
      <c r="C11" s="4">
        <v>2</v>
      </c>
      <c r="E11" t="s">
        <v>12</v>
      </c>
      <c r="H11" s="30" t="s">
        <v>18</v>
      </c>
      <c r="I11" s="24">
        <f>COUNTIF(E6:E110, "Administrativt")</f>
        <v>1</v>
      </c>
      <c r="J11" s="24">
        <f>SUMIF(E6:E110, "Administrativt", C6:C110)</f>
        <v>4</v>
      </c>
      <c r="K11" s="25">
        <f>J11/C4*100</f>
        <v>2.1220159151193632</v>
      </c>
    </row>
    <row r="12" spans="2:11" ht="20" customHeight="1" x14ac:dyDescent="0.2">
      <c r="B12" s="3">
        <v>45901</v>
      </c>
      <c r="C12" s="4">
        <v>2</v>
      </c>
      <c r="E12" t="s">
        <v>14</v>
      </c>
      <c r="H12" s="31" t="s">
        <v>12</v>
      </c>
      <c r="I12" s="24">
        <f>COUNTIF(E6:E110, "Forelesning/WS")</f>
        <v>30</v>
      </c>
      <c r="J12" s="24">
        <f>SUMIF(E6:E110, "Forelesning/WS", C6:C110)</f>
        <v>60</v>
      </c>
      <c r="K12" s="25">
        <f>J12/C4*100</f>
        <v>31.830238726790448</v>
      </c>
    </row>
    <row r="13" spans="2:11" ht="20" customHeight="1" x14ac:dyDescent="0.2">
      <c r="B13" s="3">
        <v>45902</v>
      </c>
      <c r="C13" s="4">
        <v>2</v>
      </c>
      <c r="E13" t="s">
        <v>12</v>
      </c>
      <c r="H13" s="32" t="s">
        <v>19</v>
      </c>
      <c r="I13" s="24">
        <f>COUNTIF(E6:E110, "Veiledning")</f>
        <v>2</v>
      </c>
      <c r="J13" s="24">
        <f>SUMIF(E6:E110, "Veiledning", C6:C110)</f>
        <v>1.5</v>
      </c>
      <c r="K13" s="25">
        <f>J13/C4*100</f>
        <v>0.79575596816976124</v>
      </c>
    </row>
    <row r="14" spans="2:11" ht="20" customHeight="1" x14ac:dyDescent="0.2">
      <c r="B14" s="3">
        <v>45903</v>
      </c>
      <c r="C14" s="4">
        <v>0.5</v>
      </c>
      <c r="E14" t="s">
        <v>19</v>
      </c>
      <c r="H14" s="33" t="s">
        <v>20</v>
      </c>
      <c r="I14" s="24">
        <f>COUNTIF(E6:E110, "Design")</f>
        <v>8</v>
      </c>
      <c r="J14" s="24">
        <f>SUMIF(E6:E110, "Design", C6:C110)</f>
        <v>36</v>
      </c>
      <c r="K14" s="24">
        <f>J14/C4*100</f>
        <v>19.098143236074268</v>
      </c>
    </row>
    <row r="15" spans="2:11" ht="20" customHeight="1" x14ac:dyDescent="0.2">
      <c r="B15" s="3">
        <v>45905</v>
      </c>
      <c r="C15" s="4">
        <v>2</v>
      </c>
      <c r="D15" t="s">
        <v>25</v>
      </c>
      <c r="E15" t="s">
        <v>12</v>
      </c>
      <c r="H15" s="24" t="s">
        <v>21</v>
      </c>
      <c r="I15" s="24">
        <f>COUNTIF(E6:E110, "Annet")</f>
        <v>2</v>
      </c>
      <c r="J15" s="24">
        <f>SUMIF(E7:E111, "Annet", C6:C110)</f>
        <v>8</v>
      </c>
      <c r="K15" s="24">
        <f>J15/C4*100</f>
        <v>4.2440318302387263</v>
      </c>
    </row>
    <row r="16" spans="2:11" ht="20" customHeight="1" x14ac:dyDescent="0.2">
      <c r="B16" s="3">
        <v>45908</v>
      </c>
      <c r="C16" s="4">
        <v>2</v>
      </c>
      <c r="E16" t="s">
        <v>12</v>
      </c>
    </row>
    <row r="17" spans="2:5" ht="20" customHeight="1" x14ac:dyDescent="0.2">
      <c r="B17" s="3">
        <v>45909</v>
      </c>
      <c r="C17" s="4">
        <v>2</v>
      </c>
      <c r="E17" t="s">
        <v>12</v>
      </c>
    </row>
    <row r="18" spans="2:5" ht="20" customHeight="1" x14ac:dyDescent="0.2">
      <c r="B18" s="3">
        <v>45912</v>
      </c>
      <c r="C18" s="4">
        <v>2</v>
      </c>
      <c r="D18" t="s">
        <v>25</v>
      </c>
      <c r="E18" t="s">
        <v>12</v>
      </c>
    </row>
    <row r="19" spans="2:5" ht="20" customHeight="1" x14ac:dyDescent="0.2">
      <c r="B19" s="3">
        <v>45912</v>
      </c>
      <c r="C19" s="4">
        <v>1</v>
      </c>
      <c r="E19" t="s">
        <v>14</v>
      </c>
    </row>
    <row r="20" spans="2:5" ht="20" customHeight="1" x14ac:dyDescent="0.2">
      <c r="B20" s="3">
        <v>45915</v>
      </c>
      <c r="C20" s="4">
        <v>2</v>
      </c>
      <c r="E20" t="s">
        <v>12</v>
      </c>
    </row>
    <row r="21" spans="2:5" ht="20" customHeight="1" x14ac:dyDescent="0.2">
      <c r="B21" s="3">
        <v>45885</v>
      </c>
      <c r="C21" s="4">
        <v>2</v>
      </c>
      <c r="E21" t="s">
        <v>12</v>
      </c>
    </row>
    <row r="22" spans="2:5" ht="20" customHeight="1" x14ac:dyDescent="0.2">
      <c r="B22" s="3">
        <v>45919</v>
      </c>
      <c r="C22" s="4">
        <v>2</v>
      </c>
      <c r="D22" t="s">
        <v>25</v>
      </c>
      <c r="E22" t="s">
        <v>12</v>
      </c>
    </row>
    <row r="23" spans="2:5" ht="20" customHeight="1" x14ac:dyDescent="0.2">
      <c r="B23" s="3">
        <v>45922</v>
      </c>
      <c r="C23" s="4">
        <v>2</v>
      </c>
      <c r="D23" t="s">
        <v>25</v>
      </c>
      <c r="E23" t="s">
        <v>12</v>
      </c>
    </row>
    <row r="24" spans="2:5" ht="20" customHeight="1" x14ac:dyDescent="0.2">
      <c r="B24" s="3">
        <v>45923</v>
      </c>
      <c r="C24" s="4">
        <v>2</v>
      </c>
      <c r="E24" t="s">
        <v>12</v>
      </c>
    </row>
    <row r="25" spans="2:5" ht="20" customHeight="1" x14ac:dyDescent="0.2">
      <c r="B25" s="3">
        <v>45926</v>
      </c>
      <c r="C25" s="4">
        <v>2</v>
      </c>
      <c r="E25" t="s">
        <v>12</v>
      </c>
    </row>
    <row r="26" spans="2:5" ht="20" customHeight="1" x14ac:dyDescent="0.2">
      <c r="B26" s="3">
        <v>45926</v>
      </c>
      <c r="C26" s="4">
        <v>2</v>
      </c>
      <c r="D26" t="s">
        <v>58</v>
      </c>
      <c r="E26" t="s">
        <v>14</v>
      </c>
    </row>
    <row r="27" spans="2:5" ht="20" customHeight="1" x14ac:dyDescent="0.2">
      <c r="B27" s="3">
        <v>45926</v>
      </c>
      <c r="C27" s="4">
        <v>4</v>
      </c>
      <c r="D27" t="s">
        <v>59</v>
      </c>
      <c r="E27" t="s">
        <v>16</v>
      </c>
    </row>
    <row r="28" spans="2:5" ht="20" customHeight="1" x14ac:dyDescent="0.2">
      <c r="B28" s="3">
        <v>45929</v>
      </c>
      <c r="C28" s="4">
        <v>2</v>
      </c>
      <c r="E28" t="s">
        <v>12</v>
      </c>
    </row>
    <row r="29" spans="2:5" ht="20" customHeight="1" x14ac:dyDescent="0.2">
      <c r="B29" s="3">
        <v>45929</v>
      </c>
      <c r="C29" s="4">
        <v>3</v>
      </c>
      <c r="D29" t="s">
        <v>60</v>
      </c>
      <c r="E29" t="s">
        <v>14</v>
      </c>
    </row>
    <row r="30" spans="2:5" ht="20" customHeight="1" x14ac:dyDescent="0.2">
      <c r="B30" s="3">
        <v>45929</v>
      </c>
      <c r="C30" s="4">
        <v>2</v>
      </c>
      <c r="D30" t="s">
        <v>61</v>
      </c>
      <c r="E30" t="s">
        <v>16</v>
      </c>
    </row>
    <row r="31" spans="2:5" ht="20" customHeight="1" x14ac:dyDescent="0.2">
      <c r="B31" s="3">
        <v>45930</v>
      </c>
      <c r="C31" s="4">
        <v>2</v>
      </c>
      <c r="E31" t="s">
        <v>12</v>
      </c>
    </row>
    <row r="32" spans="2:5" ht="20" customHeight="1" x14ac:dyDescent="0.2">
      <c r="B32" s="3">
        <v>45930</v>
      </c>
      <c r="C32" s="4">
        <v>8</v>
      </c>
      <c r="D32" t="s">
        <v>62</v>
      </c>
      <c r="E32" t="s">
        <v>16</v>
      </c>
    </row>
    <row r="33" spans="2:5" ht="20" customHeight="1" x14ac:dyDescent="0.2">
      <c r="B33" s="3">
        <v>45933</v>
      </c>
      <c r="C33" s="4">
        <v>2</v>
      </c>
      <c r="E33" t="s">
        <v>12</v>
      </c>
    </row>
    <row r="34" spans="2:5" ht="20" customHeight="1" x14ac:dyDescent="0.2">
      <c r="B34" s="3">
        <v>45935</v>
      </c>
      <c r="C34" s="4">
        <v>1</v>
      </c>
      <c r="E34" t="s">
        <v>17</v>
      </c>
    </row>
    <row r="35" spans="2:5" ht="20" customHeight="1" x14ac:dyDescent="0.2">
      <c r="B35" s="3">
        <v>45936</v>
      </c>
      <c r="C35" s="4">
        <v>2</v>
      </c>
      <c r="D35" t="s">
        <v>25</v>
      </c>
      <c r="E35" t="s">
        <v>12</v>
      </c>
    </row>
    <row r="36" spans="2:5" ht="20" customHeight="1" x14ac:dyDescent="0.2">
      <c r="B36" s="3">
        <v>45936</v>
      </c>
      <c r="C36" s="4">
        <v>2</v>
      </c>
      <c r="E36" t="s">
        <v>14</v>
      </c>
    </row>
    <row r="37" spans="2:5" ht="20" customHeight="1" x14ac:dyDescent="0.2">
      <c r="B37" s="3">
        <v>45937</v>
      </c>
      <c r="C37" s="4">
        <v>1</v>
      </c>
      <c r="E37" t="s">
        <v>14</v>
      </c>
    </row>
    <row r="38" spans="2:5" ht="20" customHeight="1" x14ac:dyDescent="0.2">
      <c r="B38" s="3">
        <v>45937</v>
      </c>
      <c r="C38" s="4">
        <v>2</v>
      </c>
      <c r="E38" t="s">
        <v>12</v>
      </c>
    </row>
    <row r="39" spans="2:5" ht="20" customHeight="1" x14ac:dyDescent="0.2">
      <c r="B39" s="3">
        <v>45940</v>
      </c>
      <c r="C39" s="4">
        <v>2</v>
      </c>
      <c r="E39" t="s">
        <v>12</v>
      </c>
    </row>
    <row r="40" spans="2:5" ht="20" customHeight="1" x14ac:dyDescent="0.2">
      <c r="B40" s="3">
        <v>45943</v>
      </c>
      <c r="C40" s="4">
        <v>2</v>
      </c>
      <c r="D40" t="s">
        <v>25</v>
      </c>
      <c r="E40" t="s">
        <v>12</v>
      </c>
    </row>
    <row r="41" spans="2:5" ht="20" customHeight="1" x14ac:dyDescent="0.2">
      <c r="B41" s="3">
        <v>45944</v>
      </c>
      <c r="C41" s="4">
        <v>4</v>
      </c>
      <c r="D41" t="s">
        <v>63</v>
      </c>
      <c r="E41" t="s">
        <v>16</v>
      </c>
    </row>
    <row r="42" spans="2:5" ht="20" customHeight="1" x14ac:dyDescent="0.2">
      <c r="B42" s="3">
        <v>45945</v>
      </c>
      <c r="C42" s="4">
        <v>4</v>
      </c>
      <c r="D42" t="s">
        <v>63</v>
      </c>
      <c r="E42" t="s">
        <v>16</v>
      </c>
    </row>
    <row r="43" spans="2:5" ht="20" customHeight="1" x14ac:dyDescent="0.2">
      <c r="B43" s="3">
        <v>45946</v>
      </c>
      <c r="C43" s="4">
        <v>4</v>
      </c>
      <c r="D43" t="s">
        <v>120</v>
      </c>
      <c r="E43" t="s">
        <v>16</v>
      </c>
    </row>
    <row r="44" spans="2:5" ht="20" customHeight="1" x14ac:dyDescent="0.2">
      <c r="B44" s="3">
        <v>45946</v>
      </c>
      <c r="C44" s="4">
        <v>1</v>
      </c>
      <c r="E44" t="s">
        <v>17</v>
      </c>
    </row>
    <row r="45" spans="2:5" ht="20" customHeight="1" x14ac:dyDescent="0.2">
      <c r="B45" s="3">
        <v>45946</v>
      </c>
      <c r="C45" s="4">
        <v>2</v>
      </c>
      <c r="E45" t="s">
        <v>14</v>
      </c>
    </row>
    <row r="46" spans="2:5" ht="20" customHeight="1" x14ac:dyDescent="0.2">
      <c r="B46" s="3">
        <v>45947</v>
      </c>
      <c r="C46" s="4">
        <v>2</v>
      </c>
      <c r="E46" t="s">
        <v>12</v>
      </c>
    </row>
    <row r="47" spans="2:5" ht="20" customHeight="1" x14ac:dyDescent="0.2">
      <c r="B47" s="3">
        <v>45950</v>
      </c>
      <c r="C47" s="4">
        <v>2</v>
      </c>
      <c r="E47" t="s">
        <v>12</v>
      </c>
    </row>
    <row r="48" spans="2:5" ht="20" customHeight="1" x14ac:dyDescent="0.2">
      <c r="B48" s="3">
        <v>45951</v>
      </c>
      <c r="C48" s="4">
        <v>2</v>
      </c>
      <c r="E48" t="s">
        <v>12</v>
      </c>
    </row>
    <row r="49" spans="2:5" ht="20" customHeight="1" x14ac:dyDescent="0.2">
      <c r="B49" s="3">
        <v>45953</v>
      </c>
      <c r="C49" s="4">
        <v>2</v>
      </c>
      <c r="D49" t="s">
        <v>64</v>
      </c>
      <c r="E49" t="s">
        <v>15</v>
      </c>
    </row>
    <row r="50" spans="2:5" ht="20" customHeight="1" x14ac:dyDescent="0.2">
      <c r="B50" s="3">
        <v>45954</v>
      </c>
      <c r="C50" s="4">
        <v>2</v>
      </c>
      <c r="E50" t="s">
        <v>12</v>
      </c>
    </row>
    <row r="51" spans="2:5" ht="20" customHeight="1" x14ac:dyDescent="0.2">
      <c r="B51" s="3">
        <v>45955</v>
      </c>
      <c r="C51" s="4">
        <v>4</v>
      </c>
      <c r="D51" t="s">
        <v>65</v>
      </c>
      <c r="E51" t="s">
        <v>14</v>
      </c>
    </row>
    <row r="52" spans="2:5" ht="20" customHeight="1" x14ac:dyDescent="0.2">
      <c r="B52" s="3">
        <v>45956</v>
      </c>
      <c r="C52" s="4">
        <v>3</v>
      </c>
      <c r="D52" t="s">
        <v>66</v>
      </c>
      <c r="E52" t="s">
        <v>14</v>
      </c>
    </row>
    <row r="53" spans="2:5" ht="20" customHeight="1" x14ac:dyDescent="0.2">
      <c r="B53" s="3">
        <v>45957</v>
      </c>
      <c r="C53" s="4">
        <v>2</v>
      </c>
      <c r="E53" t="s">
        <v>12</v>
      </c>
    </row>
    <row r="54" spans="2:5" ht="20" customHeight="1" x14ac:dyDescent="0.2">
      <c r="B54" s="3">
        <v>45958</v>
      </c>
      <c r="C54" s="4">
        <v>2</v>
      </c>
      <c r="E54" t="s">
        <v>12</v>
      </c>
    </row>
    <row r="55" spans="2:5" ht="20" customHeight="1" x14ac:dyDescent="0.2">
      <c r="B55" s="3">
        <v>45959</v>
      </c>
      <c r="C55" s="4">
        <v>2</v>
      </c>
      <c r="D55" t="s">
        <v>67</v>
      </c>
      <c r="E55" t="s">
        <v>21</v>
      </c>
    </row>
    <row r="56" spans="2:5" ht="20" customHeight="1" x14ac:dyDescent="0.2">
      <c r="B56" s="3">
        <v>45960</v>
      </c>
      <c r="C56" s="4">
        <v>4</v>
      </c>
      <c r="D56" t="s">
        <v>68</v>
      </c>
      <c r="E56" t="s">
        <v>20</v>
      </c>
    </row>
    <row r="57" spans="2:5" ht="20" customHeight="1" x14ac:dyDescent="0.2">
      <c r="B57" s="3">
        <v>45961</v>
      </c>
      <c r="C57" s="4">
        <v>4</v>
      </c>
      <c r="D57" t="s">
        <v>68</v>
      </c>
      <c r="E57" t="s">
        <v>20</v>
      </c>
    </row>
    <row r="58" spans="2:5" ht="20" customHeight="1" x14ac:dyDescent="0.2">
      <c r="B58" s="3">
        <v>45965</v>
      </c>
      <c r="C58" s="4">
        <v>2</v>
      </c>
      <c r="D58" t="s">
        <v>69</v>
      </c>
      <c r="E58" t="s">
        <v>15</v>
      </c>
    </row>
    <row r="59" spans="2:5" ht="20" customHeight="1" x14ac:dyDescent="0.2">
      <c r="B59" s="3">
        <v>45966</v>
      </c>
      <c r="C59" s="4">
        <v>5</v>
      </c>
      <c r="D59" t="s">
        <v>70</v>
      </c>
      <c r="E59" t="s">
        <v>20</v>
      </c>
    </row>
    <row r="60" spans="2:5" ht="20" customHeight="1" x14ac:dyDescent="0.2">
      <c r="B60" s="3">
        <v>45966</v>
      </c>
      <c r="C60" s="4">
        <v>4</v>
      </c>
      <c r="D60" t="s">
        <v>71</v>
      </c>
      <c r="E60" t="s">
        <v>13</v>
      </c>
    </row>
    <row r="61" spans="2:5" ht="20" customHeight="1" x14ac:dyDescent="0.2">
      <c r="B61" s="3">
        <v>45967</v>
      </c>
      <c r="C61" s="4">
        <v>4</v>
      </c>
      <c r="D61" t="s">
        <v>72</v>
      </c>
      <c r="E61" t="s">
        <v>20</v>
      </c>
    </row>
    <row r="62" spans="2:5" ht="20" customHeight="1" x14ac:dyDescent="0.2">
      <c r="B62" s="3">
        <v>45967</v>
      </c>
      <c r="C62" s="4">
        <v>5</v>
      </c>
      <c r="D62" t="s">
        <v>71</v>
      </c>
      <c r="E62" t="s">
        <v>13</v>
      </c>
    </row>
    <row r="63" spans="2:5" ht="20" customHeight="1" x14ac:dyDescent="0.2">
      <c r="B63" s="3">
        <v>45968</v>
      </c>
      <c r="C63" s="4">
        <v>4</v>
      </c>
      <c r="D63" t="s">
        <v>36</v>
      </c>
      <c r="E63" t="s">
        <v>20</v>
      </c>
    </row>
    <row r="64" spans="2:5" ht="20" customHeight="1" x14ac:dyDescent="0.2">
      <c r="B64" s="3">
        <v>45970</v>
      </c>
      <c r="C64" s="4">
        <v>5</v>
      </c>
      <c r="D64" t="s">
        <v>36</v>
      </c>
      <c r="E64" t="s">
        <v>20</v>
      </c>
    </row>
    <row r="65" spans="2:5" ht="20" customHeight="1" x14ac:dyDescent="0.2">
      <c r="B65" s="3">
        <v>45973</v>
      </c>
      <c r="C65" s="4">
        <v>1</v>
      </c>
      <c r="D65" t="s">
        <v>94</v>
      </c>
      <c r="E65" t="s">
        <v>19</v>
      </c>
    </row>
    <row r="66" spans="2:5" ht="20" customHeight="1" x14ac:dyDescent="0.2">
      <c r="B66" s="3">
        <v>45974</v>
      </c>
      <c r="C66" s="4">
        <v>6</v>
      </c>
      <c r="D66" t="s">
        <v>89</v>
      </c>
      <c r="E66" t="s">
        <v>20</v>
      </c>
    </row>
    <row r="67" spans="2:5" ht="20" customHeight="1" x14ac:dyDescent="0.2">
      <c r="B67" s="3">
        <v>45975</v>
      </c>
      <c r="C67" s="4">
        <v>3</v>
      </c>
      <c r="D67" t="s">
        <v>90</v>
      </c>
      <c r="E67" t="s">
        <v>21</v>
      </c>
    </row>
    <row r="68" spans="2:5" ht="20" customHeight="1" x14ac:dyDescent="0.2">
      <c r="B68" s="3">
        <v>45978</v>
      </c>
      <c r="C68" s="4">
        <v>4</v>
      </c>
      <c r="D68" t="s">
        <v>91</v>
      </c>
      <c r="E68" t="s">
        <v>20</v>
      </c>
    </row>
    <row r="69" spans="2:5" ht="20" customHeight="1" x14ac:dyDescent="0.2">
      <c r="B69" s="3">
        <v>45979</v>
      </c>
      <c r="C69" s="4">
        <v>4</v>
      </c>
      <c r="D69" t="s">
        <v>92</v>
      </c>
      <c r="E69" t="s">
        <v>18</v>
      </c>
    </row>
    <row r="70" spans="2:5" ht="20" customHeight="1" x14ac:dyDescent="0.2">
      <c r="B70" s="3">
        <v>45980</v>
      </c>
      <c r="C70" s="4">
        <v>9</v>
      </c>
      <c r="D70" t="s">
        <v>93</v>
      </c>
      <c r="E70" t="s">
        <v>13</v>
      </c>
    </row>
    <row r="71" spans="2:5" ht="20" customHeight="1" x14ac:dyDescent="0.2">
      <c r="B71" s="3">
        <v>45980</v>
      </c>
      <c r="C71" s="4">
        <v>4</v>
      </c>
      <c r="E71" t="s">
        <v>14</v>
      </c>
    </row>
    <row r="72" spans="2:5" ht="20" customHeight="1" x14ac:dyDescent="0.2">
      <c r="B72" s="3">
        <v>45981</v>
      </c>
      <c r="C72" s="4">
        <v>2</v>
      </c>
      <c r="E72" t="s">
        <v>17</v>
      </c>
    </row>
    <row r="73" spans="2:5" ht="20" customHeight="1" x14ac:dyDescent="0.2">
      <c r="B73" s="3">
        <v>45981</v>
      </c>
      <c r="C73" s="4">
        <v>4</v>
      </c>
      <c r="E73" t="s">
        <v>14</v>
      </c>
    </row>
    <row r="74" spans="2:5" ht="20" customHeight="1" x14ac:dyDescent="0.2">
      <c r="B74" s="3">
        <v>45982</v>
      </c>
      <c r="C74" s="4">
        <v>2</v>
      </c>
      <c r="E74" t="s">
        <v>14</v>
      </c>
    </row>
    <row r="75" spans="2:5" ht="20" customHeight="1" x14ac:dyDescent="0.2">
      <c r="B75" s="3" t="s">
        <v>38</v>
      </c>
      <c r="C75" s="4">
        <v>0</v>
      </c>
    </row>
    <row r="76" spans="2:5" ht="20" customHeight="1" x14ac:dyDescent="0.2">
      <c r="B76" s="3" t="s">
        <v>38</v>
      </c>
      <c r="C76" s="4">
        <v>0</v>
      </c>
    </row>
    <row r="77" spans="2:5" ht="20" customHeight="1" x14ac:dyDescent="0.2">
      <c r="B77" s="3" t="s">
        <v>38</v>
      </c>
      <c r="C77" s="4">
        <v>0</v>
      </c>
    </row>
    <row r="78" spans="2:5" ht="20" customHeight="1" x14ac:dyDescent="0.2">
      <c r="B78" s="3" t="s">
        <v>38</v>
      </c>
      <c r="C78" s="4">
        <v>0</v>
      </c>
    </row>
    <row r="79" spans="2:5" ht="20" customHeight="1" x14ac:dyDescent="0.2">
      <c r="B79" s="3" t="s">
        <v>38</v>
      </c>
      <c r="C79" s="4">
        <v>0</v>
      </c>
    </row>
    <row r="80" spans="2:5" ht="20" customHeight="1" x14ac:dyDescent="0.2">
      <c r="B80" s="3" t="s">
        <v>38</v>
      </c>
      <c r="C80" s="4">
        <v>0</v>
      </c>
    </row>
    <row r="81" spans="2:3" ht="20" customHeight="1" x14ac:dyDescent="0.2">
      <c r="B81" s="3" t="s">
        <v>38</v>
      </c>
      <c r="C81" s="4">
        <v>0</v>
      </c>
    </row>
    <row r="82" spans="2:3" ht="20" customHeight="1" x14ac:dyDescent="0.2">
      <c r="B82" s="3" t="s">
        <v>38</v>
      </c>
      <c r="C82" s="4">
        <v>0</v>
      </c>
    </row>
    <row r="83" spans="2:3" ht="20" customHeight="1" x14ac:dyDescent="0.2">
      <c r="B83" s="3" t="s">
        <v>38</v>
      </c>
      <c r="C83" s="4">
        <v>0</v>
      </c>
    </row>
    <row r="84" spans="2:3" ht="20" customHeight="1" x14ac:dyDescent="0.2">
      <c r="B84" s="3" t="s">
        <v>38</v>
      </c>
      <c r="C84" s="4">
        <v>0</v>
      </c>
    </row>
    <row r="85" spans="2:3" ht="20" customHeight="1" x14ac:dyDescent="0.2">
      <c r="B85" s="3" t="s">
        <v>38</v>
      </c>
      <c r="C85" s="4">
        <v>0</v>
      </c>
    </row>
    <row r="86" spans="2:3" ht="20" customHeight="1" x14ac:dyDescent="0.2">
      <c r="B86" s="3" t="s">
        <v>38</v>
      </c>
      <c r="C86" s="4">
        <v>0</v>
      </c>
    </row>
    <row r="87" spans="2:3" ht="20" customHeight="1" x14ac:dyDescent="0.2">
      <c r="B87" s="3" t="s">
        <v>38</v>
      </c>
      <c r="C87" s="4">
        <v>0</v>
      </c>
    </row>
    <row r="88" spans="2:3" ht="20" customHeight="1" x14ac:dyDescent="0.2">
      <c r="B88" s="3" t="s">
        <v>38</v>
      </c>
      <c r="C88" s="4">
        <v>0</v>
      </c>
    </row>
    <row r="89" spans="2:3" ht="20" customHeight="1" x14ac:dyDescent="0.2">
      <c r="B89" s="3" t="s">
        <v>38</v>
      </c>
      <c r="C89" s="4">
        <v>0</v>
      </c>
    </row>
    <row r="90" spans="2:3" ht="20" customHeight="1" x14ac:dyDescent="0.2">
      <c r="B90" s="3" t="s">
        <v>38</v>
      </c>
      <c r="C90" s="4">
        <v>0</v>
      </c>
    </row>
    <row r="91" spans="2:3" ht="20" customHeight="1" x14ac:dyDescent="0.2">
      <c r="B91" s="3" t="s">
        <v>38</v>
      </c>
      <c r="C91" s="4">
        <v>0</v>
      </c>
    </row>
    <row r="92" spans="2:3" ht="20" customHeight="1" x14ac:dyDescent="0.2">
      <c r="B92" s="3" t="s">
        <v>38</v>
      </c>
      <c r="C92" s="4">
        <v>0</v>
      </c>
    </row>
    <row r="93" spans="2:3" ht="20" customHeight="1" x14ac:dyDescent="0.2">
      <c r="B93" s="3" t="s">
        <v>38</v>
      </c>
      <c r="C93" s="4">
        <v>0</v>
      </c>
    </row>
    <row r="94" spans="2:3" ht="20" customHeight="1" x14ac:dyDescent="0.2">
      <c r="B94" s="3" t="s">
        <v>38</v>
      </c>
      <c r="C94" s="4">
        <v>0</v>
      </c>
    </row>
    <row r="95" spans="2:3" ht="20" customHeight="1" x14ac:dyDescent="0.2">
      <c r="B95" s="3" t="s">
        <v>38</v>
      </c>
      <c r="C95" s="4">
        <v>0</v>
      </c>
    </row>
    <row r="96" spans="2:3" ht="20" customHeight="1" x14ac:dyDescent="0.2">
      <c r="B96" s="3" t="s">
        <v>38</v>
      </c>
      <c r="C96" s="4">
        <v>0</v>
      </c>
    </row>
    <row r="97" spans="2:3" ht="20" customHeight="1" x14ac:dyDescent="0.2">
      <c r="B97" s="3" t="s">
        <v>38</v>
      </c>
      <c r="C97" s="4">
        <v>0</v>
      </c>
    </row>
    <row r="98" spans="2:3" ht="20" customHeight="1" x14ac:dyDescent="0.2">
      <c r="B98" s="3" t="s">
        <v>38</v>
      </c>
      <c r="C98" s="4">
        <v>0</v>
      </c>
    </row>
    <row r="99" spans="2:3" ht="20" customHeight="1" x14ac:dyDescent="0.2">
      <c r="B99" s="3" t="s">
        <v>38</v>
      </c>
      <c r="C99" s="4">
        <v>0</v>
      </c>
    </row>
    <row r="100" spans="2:3" ht="20" customHeight="1" x14ac:dyDescent="0.2">
      <c r="B100" s="3" t="s">
        <v>38</v>
      </c>
      <c r="C100" s="4">
        <v>0</v>
      </c>
    </row>
    <row r="101" spans="2:3" ht="20" customHeight="1" x14ac:dyDescent="0.2">
      <c r="B101" s="3" t="s">
        <v>38</v>
      </c>
      <c r="C101" s="4">
        <v>0</v>
      </c>
    </row>
    <row r="102" spans="2:3" ht="20" customHeight="1" x14ac:dyDescent="0.2">
      <c r="B102" s="3" t="s">
        <v>38</v>
      </c>
      <c r="C102" s="4">
        <v>0</v>
      </c>
    </row>
    <row r="103" spans="2:3" ht="20" customHeight="1" x14ac:dyDescent="0.2">
      <c r="B103" s="3" t="s">
        <v>38</v>
      </c>
      <c r="C103" s="4">
        <v>0</v>
      </c>
    </row>
    <row r="104" spans="2:3" ht="20" customHeight="1" x14ac:dyDescent="0.2">
      <c r="B104" s="3" t="s">
        <v>38</v>
      </c>
      <c r="C104" s="4">
        <v>0</v>
      </c>
    </row>
    <row r="105" spans="2:3" ht="20" customHeight="1" x14ac:dyDescent="0.2">
      <c r="B105" s="3" t="s">
        <v>38</v>
      </c>
      <c r="C105" s="4">
        <v>0</v>
      </c>
    </row>
    <row r="106" spans="2:3" ht="20" customHeight="1" x14ac:dyDescent="0.2">
      <c r="B106" s="3" t="s">
        <v>38</v>
      </c>
      <c r="C106" s="4">
        <v>0</v>
      </c>
    </row>
    <row r="107" spans="2:3" x14ac:dyDescent="0.2">
      <c r="B107" s="3" t="s">
        <v>38</v>
      </c>
      <c r="C107" s="4">
        <v>0</v>
      </c>
    </row>
    <row r="108" spans="2:3" x14ac:dyDescent="0.2">
      <c r="B108" s="3" t="s">
        <v>38</v>
      </c>
      <c r="C108" s="4">
        <v>0</v>
      </c>
    </row>
    <row r="109" spans="2:3" x14ac:dyDescent="0.2">
      <c r="B109" s="3" t="s">
        <v>38</v>
      </c>
      <c r="C109" s="4">
        <v>0</v>
      </c>
    </row>
    <row r="110" spans="2:3" x14ac:dyDescent="0.2">
      <c r="B110" s="3" t="s">
        <v>38</v>
      </c>
      <c r="C110" s="4">
        <v>0</v>
      </c>
    </row>
  </sheetData>
  <dataValidations count="12">
    <dataValidation allowBlank="1" showInputMessage="1" showErrorMessage="1" prompt="Arbeidstimer beregnes automatisk i kolonnen under denne overskriften" sqref="C5:D5" xr:uid="{91B046AB-5C2C-4225-B8B2-F356FC3A2050}"/>
    <dataValidation allowBlank="1" showInputMessage="1" showErrorMessage="1" prompt="Skriv inn dato i kolonnen under denne overskriften. Bruk overskriftsfiltre til å finne bestemte oppføringer" sqref="B5" xr:uid="{D044C741-D28C-4529-B095-FFB062F90F01}"/>
    <dataValidation allowBlank="1" showInputMessage="1" showErrorMessage="1" prompt="Totalt antall arbeidstimer beregnes automatisk i denne cellen" sqref="C4" xr:uid="{F3B492CD-782F-446D-B98F-5C999B34807D}"/>
    <dataValidation allowBlank="1" showInputMessage="1" showErrorMessage="1" prompt="Skriv inn totale arbeidstimer for uken i denne cellen" sqref="B4" xr:uid="{8D5810D5-0D59-4336-84CE-7E304EB74163}"/>
    <dataValidation allowBlank="1" showInputMessage="1" showErrorMessage="1" prompt="Totale arbeidstimer beregnes automatisk i cellen nedenfor" sqref="C3" xr:uid="{19EA9282-ACC4-4EE6-A209-DAF1958C39F1}"/>
    <dataValidation allowBlank="1" showInputMessage="1" showErrorMessage="1" prompt="Skriv inn totalt antall arbeidstimer uke i cellen under" sqref="B3" xr:uid="{EC263A30-6282-4A94-A4EA-4BC239B811F2}"/>
    <dataValidation allowBlank="1" showInputMessage="1" showErrorMessage="1" prompt="Skriv inn den ansattes e-postadresse i denne cellen" sqref="C2" xr:uid="{A9C5E388-4458-4748-A24C-56EB79E14B57}"/>
    <dataValidation allowBlank="1" showInputMessage="1" showErrorMessage="1" prompt="Skriv inn den ansattes navn i denne cellen" sqref="B2" xr:uid="{41FE1F99-D0CF-43F5-96C0-00EB11F6440F}"/>
    <dataValidation allowBlank="1" showInputMessage="1" showErrorMessage="1" prompt="Tittelen på regnearket vises i denne cellen.  Skriv inn detaljer om den ansatte og leder i cellene under" sqref="B1" xr:uid="{E0E1D944-9B25-47AB-A710-43C7A75E8BDA}"/>
    <dataValidation allowBlank="1" showInputMessage="1" showErrorMessage="1" prompt="Bruk dette regnearket til å spore antall arbeidstimer i en arbeidsuke. Skriv inn dato og klokkeslett i Timeliste-tabellen. Totalt antall timer, ordinære timer og overtidstimer blir automatisk kalkulert i rad 6" sqref="A1" xr:uid="{D5119BF1-977B-4566-8EF9-C78A9C3F9C09}"/>
    <dataValidation allowBlank="1" showErrorMessage="1" sqref="C1:XFD1 E111:E1048576 B70:C1048576 D2:E4 D37:D63 D66:D67 B69:D69 D71:D1048576 B35:C68 H2:H5 H16:H1048576 F2:G1048576 A2:A1048576 D6:D18 D22:D26 B6:C31 B32:D34 I2:XFD1048576" xr:uid="{3073BD61-46B2-498A-A74F-84FB7EB49FCF}"/>
    <dataValidation type="list" showDropDown="1" showInputMessage="1" showErrorMessage="1" sqref="E5" xr:uid="{9436BF8C-6241-4318-87B4-B48E8AD8DE64}">
      <formula1>$H$6:$H$14</formula1>
    </dataValidation>
  </dataValidations>
  <pageMargins left="0.4" right="0.4" top="0.4" bottom="0.4" header="0.3" footer="0.3"/>
  <pageSetup paperSize="9" fitToHeight="0" orientation="landscape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F84A35-E8D9-4A8D-A8C9-C1B0581ECFDD}">
          <x14:formula1>
            <xm:f>DroppdownTable!$B$2:$B$11</xm:f>
          </x14:formula1>
          <xm:sqref>E6:E110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3519-ACE9-4564-8363-6A1F22092656}">
  <sheetPr>
    <tabColor theme="7" tint="0.39997558519241921"/>
    <pageSetUpPr fitToPage="1"/>
  </sheetPr>
  <dimension ref="B1:K105"/>
  <sheetViews>
    <sheetView showGridLines="0" topLeftCell="A2" zoomScale="84" zoomScaleNormal="115" workbookViewId="0">
      <selection activeCell="D29" sqref="D29"/>
    </sheetView>
  </sheetViews>
  <sheetFormatPr baseColWidth="10" defaultColWidth="9.1640625" defaultRowHeight="15" x14ac:dyDescent="0.2"/>
  <cols>
    <col min="1" max="1" width="2.6640625" customWidth="1"/>
    <col min="2" max="2" width="27.33203125" bestFit="1" customWidth="1"/>
    <col min="3" max="3" width="27.1640625" bestFit="1" customWidth="1"/>
    <col min="4" max="4" width="64.33203125" bestFit="1" customWidth="1"/>
    <col min="5" max="5" width="20.5" bestFit="1" customWidth="1"/>
    <col min="6" max="6" width="2.6640625" customWidth="1"/>
    <col min="8" max="8" width="14.83203125" bestFit="1" customWidth="1"/>
    <col min="9" max="9" width="17.1640625" bestFit="1" customWidth="1"/>
    <col min="10" max="10" width="25" bestFit="1" customWidth="1"/>
    <col min="11" max="11" width="5.83203125" customWidth="1"/>
  </cols>
  <sheetData>
    <row r="1" spans="2:11" ht="35" customHeight="1" thickTop="1" x14ac:dyDescent="0.35">
      <c r="B1" s="1" t="s">
        <v>0</v>
      </c>
      <c r="C1" s="1"/>
      <c r="D1" s="1"/>
      <c r="E1" s="1"/>
      <c r="F1" s="1"/>
    </row>
    <row r="2" spans="2:11" ht="30" customHeight="1" thickBot="1" x14ac:dyDescent="0.25">
      <c r="B2" t="s">
        <v>1</v>
      </c>
    </row>
    <row r="3" spans="2:11" ht="45" customHeight="1" thickBot="1" x14ac:dyDescent="0.25">
      <c r="B3" s="5" t="s">
        <v>73</v>
      </c>
      <c r="C3" s="6" t="s">
        <v>3</v>
      </c>
    </row>
    <row r="4" spans="2:11" ht="30" customHeight="1" thickBot="1" x14ac:dyDescent="0.35">
      <c r="B4" s="2"/>
      <c r="C4" s="7">
        <f>SUBTOTAL(109,Timeliste5714[Antall arbeidstimer])</f>
        <v>69</v>
      </c>
    </row>
    <row r="5" spans="2:11" ht="40" customHeight="1" x14ac:dyDescent="0.2">
      <c r="B5" t="s">
        <v>4</v>
      </c>
      <c r="C5" t="s">
        <v>5</v>
      </c>
      <c r="D5" t="s">
        <v>6</v>
      </c>
      <c r="E5" t="s">
        <v>7</v>
      </c>
      <c r="H5" s="22" t="s">
        <v>8</v>
      </c>
      <c r="I5" s="22" t="s">
        <v>9</v>
      </c>
      <c r="J5" s="22" t="s">
        <v>10</v>
      </c>
      <c r="K5" s="22" t="s">
        <v>11</v>
      </c>
    </row>
    <row r="6" spans="2:11" ht="20" customHeight="1" x14ac:dyDescent="0.2">
      <c r="B6" s="3">
        <v>45905</v>
      </c>
      <c r="C6" s="4">
        <v>2</v>
      </c>
      <c r="D6" t="s">
        <v>25</v>
      </c>
      <c r="E6" t="s">
        <v>12</v>
      </c>
      <c r="H6" s="23" t="s">
        <v>13</v>
      </c>
      <c r="I6" s="24">
        <f>COUNTIF(E6:E100, "Programmering")</f>
        <v>6</v>
      </c>
      <c r="J6" s="24">
        <f>SUMIF(E6:E100, "Programmering", C6:C100)</f>
        <v>29</v>
      </c>
      <c r="K6" s="25">
        <f>J6/C4*100</f>
        <v>42.028985507246375</v>
      </c>
    </row>
    <row r="7" spans="2:11" ht="20" customHeight="1" x14ac:dyDescent="0.2">
      <c r="B7" s="3">
        <v>45908</v>
      </c>
      <c r="C7" s="4">
        <v>2</v>
      </c>
      <c r="D7" t="s">
        <v>25</v>
      </c>
      <c r="E7" t="s">
        <v>12</v>
      </c>
      <c r="H7" s="26" t="s">
        <v>14</v>
      </c>
      <c r="I7" s="24">
        <f>COUNTIF(E6:E100, "Raport")</f>
        <v>3</v>
      </c>
      <c r="J7" s="24">
        <f>SUMIF(E6:E100, "Raport", C6:C100)</f>
        <v>6</v>
      </c>
      <c r="K7" s="25">
        <f>J7/C4*100</f>
        <v>8.695652173913043</v>
      </c>
    </row>
    <row r="8" spans="2:11" ht="20" customHeight="1" x14ac:dyDescent="0.2">
      <c r="B8" s="3">
        <v>45909</v>
      </c>
      <c r="C8" s="4">
        <v>2</v>
      </c>
      <c r="D8" t="s">
        <v>74</v>
      </c>
      <c r="E8" t="s">
        <v>12</v>
      </c>
      <c r="H8" s="27" t="s">
        <v>15</v>
      </c>
      <c r="I8" s="24">
        <f>COUNTIF(E6:E100, "Møte")</f>
        <v>0</v>
      </c>
      <c r="J8" s="24">
        <f>SUMIF(E6:E100, "Møte", C6:C100)</f>
        <v>0</v>
      </c>
      <c r="K8" s="25">
        <f>J8/C4*100</f>
        <v>0</v>
      </c>
    </row>
    <row r="9" spans="2:11" ht="20" customHeight="1" x14ac:dyDescent="0.2">
      <c r="B9" s="3">
        <v>45908</v>
      </c>
      <c r="C9" s="4">
        <v>2</v>
      </c>
      <c r="D9" t="s">
        <v>75</v>
      </c>
      <c r="E9" t="s">
        <v>12</v>
      </c>
      <c r="H9" s="28" t="s">
        <v>16</v>
      </c>
      <c r="I9" s="24">
        <f>COUNTIF(E6:E100, "Database")</f>
        <v>0</v>
      </c>
      <c r="J9" s="24">
        <f>SUMIF(E6:E100, "Database", C6:C100)</f>
        <v>0</v>
      </c>
      <c r="K9" s="25">
        <f>J9/C4*100</f>
        <v>0</v>
      </c>
    </row>
    <row r="10" spans="2:11" ht="20" customHeight="1" x14ac:dyDescent="0.2">
      <c r="B10" s="3">
        <v>45909</v>
      </c>
      <c r="C10" s="4">
        <v>2</v>
      </c>
      <c r="D10" t="s">
        <v>75</v>
      </c>
      <c r="E10" t="s">
        <v>12</v>
      </c>
      <c r="H10" s="29" t="s">
        <v>17</v>
      </c>
      <c r="I10" s="24">
        <f>COUNTIF(E6:E100, "GitHub")</f>
        <v>3</v>
      </c>
      <c r="J10" s="24">
        <f>SUMIF(E6:E100, "GitHub", C6:C100)</f>
        <v>10</v>
      </c>
      <c r="K10" s="25">
        <f>J10/C4*100</f>
        <v>14.492753623188406</v>
      </c>
    </row>
    <row r="11" spans="2:11" ht="20" customHeight="1" x14ac:dyDescent="0.2">
      <c r="B11" s="3">
        <v>45919</v>
      </c>
      <c r="C11" s="4">
        <v>2</v>
      </c>
      <c r="D11" t="s">
        <v>25</v>
      </c>
      <c r="E11" t="s">
        <v>12</v>
      </c>
      <c r="H11" s="30" t="s">
        <v>18</v>
      </c>
      <c r="I11" s="24">
        <f>COUNTIF(E6:E100, "Administrativt")</f>
        <v>0</v>
      </c>
      <c r="J11" s="24">
        <f>SUMIF(E6:E100, "Administrativt", C6:C100)</f>
        <v>0</v>
      </c>
      <c r="K11" s="25">
        <f>J11/C4*100</f>
        <v>0</v>
      </c>
    </row>
    <row r="12" spans="2:11" ht="20" customHeight="1" x14ac:dyDescent="0.2">
      <c r="B12" s="3">
        <v>45922</v>
      </c>
      <c r="C12" s="4">
        <v>2</v>
      </c>
      <c r="D12" t="s">
        <v>25</v>
      </c>
      <c r="E12" t="s">
        <v>12</v>
      </c>
      <c r="H12" s="31" t="s">
        <v>12</v>
      </c>
      <c r="I12" s="24">
        <f>COUNTIF(E6:E100, "Forelesning/WS")</f>
        <v>8</v>
      </c>
      <c r="J12" s="24">
        <f>SUMIF(E6:E100, "Forelesning/WS", C6:C100)</f>
        <v>16</v>
      </c>
      <c r="K12" s="25">
        <f>J12/C4*100</f>
        <v>23.188405797101449</v>
      </c>
    </row>
    <row r="13" spans="2:11" ht="20" customHeight="1" x14ac:dyDescent="0.2">
      <c r="B13" s="3">
        <v>45925</v>
      </c>
      <c r="C13" s="4">
        <v>3</v>
      </c>
      <c r="D13" t="s">
        <v>76</v>
      </c>
      <c r="E13" t="s">
        <v>21</v>
      </c>
      <c r="H13" s="32" t="s">
        <v>19</v>
      </c>
      <c r="I13" s="24">
        <f>COUNTIF(E6:E100, "Veiledning")</f>
        <v>1</v>
      </c>
      <c r="J13" s="24">
        <f>SUMIF(E6:E100, "Veiledning", C6:C100)</f>
        <v>3</v>
      </c>
      <c r="K13" s="25">
        <f>J13/C4*100</f>
        <v>4.3478260869565215</v>
      </c>
    </row>
    <row r="14" spans="2:11" ht="20" customHeight="1" x14ac:dyDescent="0.2">
      <c r="B14" s="3">
        <v>45929</v>
      </c>
      <c r="C14" s="4">
        <v>2</v>
      </c>
      <c r="D14" t="s">
        <v>77</v>
      </c>
      <c r="E14" t="s">
        <v>17</v>
      </c>
      <c r="H14" s="33" t="s">
        <v>20</v>
      </c>
      <c r="I14" s="24">
        <f>COUNTIF(E6:E100, "Design")</f>
        <v>0</v>
      </c>
      <c r="J14" s="24">
        <f>SUMIF(E6:E100, "Design", C6:C100)</f>
        <v>0</v>
      </c>
      <c r="K14" s="24">
        <f>J14/C4*100</f>
        <v>0</v>
      </c>
    </row>
    <row r="15" spans="2:11" ht="20" customHeight="1" x14ac:dyDescent="0.2">
      <c r="B15" s="3">
        <v>45933</v>
      </c>
      <c r="C15" s="4">
        <v>2</v>
      </c>
      <c r="D15" t="s">
        <v>78</v>
      </c>
      <c r="E15" t="s">
        <v>21</v>
      </c>
      <c r="H15" s="24" t="s">
        <v>21</v>
      </c>
      <c r="I15" s="24">
        <f>COUNTIF(E6:E100, "Annet")</f>
        <v>2</v>
      </c>
      <c r="J15" s="24">
        <f>SUMIF(E7:E101, "Annet", C6:C100)</f>
        <v>4</v>
      </c>
      <c r="K15" s="24">
        <f>J15/C4*100</f>
        <v>5.7971014492753623</v>
      </c>
    </row>
    <row r="16" spans="2:11" ht="20" customHeight="1" x14ac:dyDescent="0.2">
      <c r="B16" s="3">
        <v>45935</v>
      </c>
      <c r="C16" s="4">
        <v>3</v>
      </c>
      <c r="D16" t="s">
        <v>79</v>
      </c>
      <c r="E16" t="s">
        <v>17</v>
      </c>
    </row>
    <row r="17" spans="2:5" ht="20" customHeight="1" x14ac:dyDescent="0.2">
      <c r="B17" s="3">
        <v>45943</v>
      </c>
      <c r="C17" s="4">
        <v>2</v>
      </c>
      <c r="D17" t="s">
        <v>25</v>
      </c>
      <c r="E17" t="s">
        <v>12</v>
      </c>
    </row>
    <row r="18" spans="2:5" ht="20" customHeight="1" x14ac:dyDescent="0.2">
      <c r="B18" s="3">
        <v>45945</v>
      </c>
      <c r="C18" s="4">
        <v>3</v>
      </c>
      <c r="D18" t="s">
        <v>80</v>
      </c>
      <c r="E18" t="s">
        <v>19</v>
      </c>
    </row>
    <row r="19" spans="2:5" ht="20" customHeight="1" x14ac:dyDescent="0.2">
      <c r="B19" s="3">
        <v>45946</v>
      </c>
      <c r="C19" s="4">
        <v>6</v>
      </c>
      <c r="D19" t="s">
        <v>81</v>
      </c>
      <c r="E19" t="s">
        <v>13</v>
      </c>
    </row>
    <row r="20" spans="2:5" ht="20" customHeight="1" x14ac:dyDescent="0.2">
      <c r="B20" s="3">
        <v>45950</v>
      </c>
      <c r="C20" s="4">
        <v>5</v>
      </c>
      <c r="D20" t="s">
        <v>82</v>
      </c>
      <c r="E20" t="s">
        <v>13</v>
      </c>
    </row>
    <row r="21" spans="2:5" ht="20" customHeight="1" x14ac:dyDescent="0.2">
      <c r="B21" s="3">
        <v>45953</v>
      </c>
      <c r="C21" s="4">
        <v>6</v>
      </c>
      <c r="D21" t="s">
        <v>83</v>
      </c>
      <c r="E21" t="s">
        <v>13</v>
      </c>
    </row>
    <row r="22" spans="2:5" ht="20" customHeight="1" x14ac:dyDescent="0.2">
      <c r="B22" s="3">
        <v>45955</v>
      </c>
      <c r="C22" s="4">
        <v>5</v>
      </c>
      <c r="D22" t="s">
        <v>84</v>
      </c>
      <c r="E22" t="s">
        <v>13</v>
      </c>
    </row>
    <row r="23" spans="2:5" ht="20" customHeight="1" x14ac:dyDescent="0.2">
      <c r="B23" s="3">
        <v>45956</v>
      </c>
      <c r="C23" s="4">
        <v>5</v>
      </c>
      <c r="D23" t="s">
        <v>85</v>
      </c>
      <c r="E23" t="s">
        <v>17</v>
      </c>
    </row>
    <row r="24" spans="2:5" ht="20" customHeight="1" x14ac:dyDescent="0.2">
      <c r="B24" s="3">
        <v>45956</v>
      </c>
      <c r="C24" s="4">
        <v>2</v>
      </c>
      <c r="D24" t="s">
        <v>86</v>
      </c>
      <c r="E24" t="s">
        <v>14</v>
      </c>
    </row>
    <row r="25" spans="2:5" ht="20" customHeight="1" x14ac:dyDescent="0.2">
      <c r="B25" s="3">
        <v>45964</v>
      </c>
      <c r="C25" s="4">
        <v>5</v>
      </c>
      <c r="D25" t="s">
        <v>114</v>
      </c>
      <c r="E25" t="s">
        <v>13</v>
      </c>
    </row>
    <row r="26" spans="2:5" ht="20" customHeight="1" x14ac:dyDescent="0.2">
      <c r="B26" s="3">
        <v>45970</v>
      </c>
      <c r="C26" s="4">
        <v>2</v>
      </c>
      <c r="D26" t="s">
        <v>115</v>
      </c>
      <c r="E26" t="s">
        <v>13</v>
      </c>
    </row>
    <row r="27" spans="2:5" ht="20" customHeight="1" x14ac:dyDescent="0.2">
      <c r="B27" s="3">
        <v>45977</v>
      </c>
      <c r="C27" s="4">
        <v>2</v>
      </c>
      <c r="D27" t="s">
        <v>116</v>
      </c>
      <c r="E27" t="s">
        <v>14</v>
      </c>
    </row>
    <row r="28" spans="2:5" ht="20" customHeight="1" x14ac:dyDescent="0.2">
      <c r="B28" s="3">
        <v>45982</v>
      </c>
      <c r="C28" s="4">
        <v>2</v>
      </c>
      <c r="D28" t="s">
        <v>117</v>
      </c>
      <c r="E28" t="s">
        <v>14</v>
      </c>
    </row>
    <row r="29" spans="2:5" ht="20" customHeight="1" x14ac:dyDescent="0.2">
      <c r="B29" s="3" t="s">
        <v>38</v>
      </c>
      <c r="C29" s="4"/>
    </row>
    <row r="30" spans="2:5" ht="20" customHeight="1" x14ac:dyDescent="0.2">
      <c r="B30" s="3" t="s">
        <v>38</v>
      </c>
      <c r="C30" s="4">
        <v>0</v>
      </c>
    </row>
    <row r="31" spans="2:5" ht="20" customHeight="1" x14ac:dyDescent="0.2">
      <c r="B31" s="3" t="s">
        <v>38</v>
      </c>
      <c r="C31" s="4">
        <v>0</v>
      </c>
    </row>
    <row r="32" spans="2:5" ht="20" customHeight="1" x14ac:dyDescent="0.2">
      <c r="B32" s="3" t="s">
        <v>38</v>
      </c>
      <c r="C32" s="4">
        <v>0</v>
      </c>
    </row>
    <row r="33" spans="2:3" ht="20" customHeight="1" x14ac:dyDescent="0.2">
      <c r="B33" s="3" t="s">
        <v>38</v>
      </c>
      <c r="C33" s="4">
        <v>0</v>
      </c>
    </row>
    <row r="34" spans="2:3" ht="20" customHeight="1" x14ac:dyDescent="0.2">
      <c r="B34" s="3" t="s">
        <v>38</v>
      </c>
      <c r="C34" s="4">
        <v>0</v>
      </c>
    </row>
    <row r="35" spans="2:3" ht="20" customHeight="1" x14ac:dyDescent="0.2">
      <c r="B35" s="3" t="s">
        <v>38</v>
      </c>
      <c r="C35" s="4">
        <v>0</v>
      </c>
    </row>
    <row r="36" spans="2:3" ht="20" customHeight="1" x14ac:dyDescent="0.2">
      <c r="B36" s="3" t="s">
        <v>38</v>
      </c>
      <c r="C36" s="4">
        <v>0</v>
      </c>
    </row>
    <row r="37" spans="2:3" ht="20" customHeight="1" x14ac:dyDescent="0.2">
      <c r="B37" s="3" t="s">
        <v>38</v>
      </c>
      <c r="C37" s="4">
        <v>0</v>
      </c>
    </row>
    <row r="38" spans="2:3" ht="20" customHeight="1" x14ac:dyDescent="0.2">
      <c r="B38" s="3" t="s">
        <v>38</v>
      </c>
      <c r="C38" s="4">
        <v>0</v>
      </c>
    </row>
    <row r="39" spans="2:3" ht="20" customHeight="1" x14ac:dyDescent="0.2">
      <c r="B39" s="3" t="s">
        <v>38</v>
      </c>
      <c r="C39" s="4">
        <v>0</v>
      </c>
    </row>
    <row r="40" spans="2:3" ht="20" customHeight="1" x14ac:dyDescent="0.2">
      <c r="B40" s="3" t="s">
        <v>38</v>
      </c>
      <c r="C40" s="4">
        <v>0</v>
      </c>
    </row>
    <row r="41" spans="2:3" ht="20" customHeight="1" x14ac:dyDescent="0.2">
      <c r="B41" s="3" t="s">
        <v>38</v>
      </c>
      <c r="C41" s="4">
        <v>0</v>
      </c>
    </row>
    <row r="42" spans="2:3" ht="20" customHeight="1" x14ac:dyDescent="0.2">
      <c r="B42" s="3" t="s">
        <v>38</v>
      </c>
      <c r="C42" s="4">
        <v>0</v>
      </c>
    </row>
    <row r="43" spans="2:3" ht="20" customHeight="1" x14ac:dyDescent="0.2">
      <c r="B43" s="3" t="s">
        <v>38</v>
      </c>
      <c r="C43" s="4">
        <v>0</v>
      </c>
    </row>
    <row r="44" spans="2:3" ht="20" customHeight="1" x14ac:dyDescent="0.2">
      <c r="B44" s="3" t="s">
        <v>38</v>
      </c>
      <c r="C44" s="4">
        <v>0</v>
      </c>
    </row>
    <row r="45" spans="2:3" ht="20" customHeight="1" x14ac:dyDescent="0.2">
      <c r="B45" s="3" t="s">
        <v>38</v>
      </c>
      <c r="C45" s="4">
        <v>0</v>
      </c>
    </row>
    <row r="46" spans="2:3" ht="20" customHeight="1" x14ac:dyDescent="0.2">
      <c r="B46" s="3" t="s">
        <v>38</v>
      </c>
      <c r="C46" s="4">
        <v>0</v>
      </c>
    </row>
    <row r="47" spans="2:3" ht="20" customHeight="1" x14ac:dyDescent="0.2">
      <c r="B47" s="3" t="s">
        <v>38</v>
      </c>
      <c r="C47" s="4">
        <v>0</v>
      </c>
    </row>
    <row r="48" spans="2:3" ht="20" customHeight="1" x14ac:dyDescent="0.2">
      <c r="B48" s="3" t="s">
        <v>38</v>
      </c>
      <c r="C48" s="4">
        <v>0</v>
      </c>
    </row>
    <row r="49" spans="2:3" ht="20" customHeight="1" x14ac:dyDescent="0.2">
      <c r="B49" s="3" t="s">
        <v>38</v>
      </c>
      <c r="C49" s="4">
        <v>0</v>
      </c>
    </row>
    <row r="50" spans="2:3" ht="20" customHeight="1" x14ac:dyDescent="0.2">
      <c r="B50" s="3" t="s">
        <v>38</v>
      </c>
      <c r="C50" s="4">
        <v>0</v>
      </c>
    </row>
    <row r="51" spans="2:3" ht="20" customHeight="1" x14ac:dyDescent="0.2">
      <c r="B51" s="3" t="s">
        <v>38</v>
      </c>
      <c r="C51" s="4">
        <v>0</v>
      </c>
    </row>
    <row r="52" spans="2:3" ht="20" customHeight="1" x14ac:dyDescent="0.2">
      <c r="B52" s="3" t="s">
        <v>38</v>
      </c>
      <c r="C52" s="4">
        <v>0</v>
      </c>
    </row>
    <row r="53" spans="2:3" ht="20" customHeight="1" x14ac:dyDescent="0.2">
      <c r="B53" s="3" t="s">
        <v>38</v>
      </c>
      <c r="C53" s="4">
        <v>0</v>
      </c>
    </row>
    <row r="54" spans="2:3" ht="20" customHeight="1" x14ac:dyDescent="0.2">
      <c r="B54" s="3" t="s">
        <v>38</v>
      </c>
      <c r="C54" s="4">
        <v>0</v>
      </c>
    </row>
    <row r="55" spans="2:3" ht="20" customHeight="1" x14ac:dyDescent="0.2">
      <c r="B55" s="3" t="s">
        <v>38</v>
      </c>
      <c r="C55" s="4">
        <v>0</v>
      </c>
    </row>
    <row r="56" spans="2:3" ht="20" customHeight="1" x14ac:dyDescent="0.2">
      <c r="B56" s="3" t="s">
        <v>38</v>
      </c>
      <c r="C56" s="4">
        <v>0</v>
      </c>
    </row>
    <row r="57" spans="2:3" ht="20" customHeight="1" x14ac:dyDescent="0.2">
      <c r="B57" s="3" t="s">
        <v>38</v>
      </c>
      <c r="C57" s="4">
        <v>0</v>
      </c>
    </row>
    <row r="58" spans="2:3" ht="20" customHeight="1" x14ac:dyDescent="0.2">
      <c r="B58" s="3" t="s">
        <v>38</v>
      </c>
      <c r="C58" s="4">
        <v>0</v>
      </c>
    </row>
    <row r="59" spans="2:3" ht="20" customHeight="1" x14ac:dyDescent="0.2">
      <c r="B59" s="3" t="s">
        <v>38</v>
      </c>
      <c r="C59" s="4">
        <v>0</v>
      </c>
    </row>
    <row r="60" spans="2:3" ht="20" customHeight="1" x14ac:dyDescent="0.2">
      <c r="B60" s="3" t="s">
        <v>38</v>
      </c>
      <c r="C60" s="4">
        <v>0</v>
      </c>
    </row>
    <row r="61" spans="2:3" ht="20" customHeight="1" x14ac:dyDescent="0.2">
      <c r="B61" s="3" t="s">
        <v>38</v>
      </c>
      <c r="C61" s="4">
        <v>0</v>
      </c>
    </row>
    <row r="62" spans="2:3" ht="20" customHeight="1" x14ac:dyDescent="0.2">
      <c r="B62" s="3" t="s">
        <v>38</v>
      </c>
      <c r="C62" s="4">
        <v>0</v>
      </c>
    </row>
    <row r="63" spans="2:3" ht="20" customHeight="1" x14ac:dyDescent="0.2">
      <c r="B63" s="3" t="s">
        <v>38</v>
      </c>
      <c r="C63" s="4">
        <v>0</v>
      </c>
    </row>
    <row r="64" spans="2:3" ht="20" customHeight="1" x14ac:dyDescent="0.2">
      <c r="B64" s="3" t="s">
        <v>38</v>
      </c>
      <c r="C64" s="4">
        <v>0</v>
      </c>
    </row>
    <row r="65" spans="2:3" ht="20" customHeight="1" x14ac:dyDescent="0.2">
      <c r="B65" s="3" t="s">
        <v>38</v>
      </c>
      <c r="C65" s="4">
        <v>0</v>
      </c>
    </row>
    <row r="66" spans="2:3" ht="20" customHeight="1" x14ac:dyDescent="0.2">
      <c r="B66" s="3" t="s">
        <v>38</v>
      </c>
      <c r="C66" s="4">
        <v>0</v>
      </c>
    </row>
    <row r="67" spans="2:3" ht="20" customHeight="1" x14ac:dyDescent="0.2">
      <c r="B67" s="3" t="s">
        <v>38</v>
      </c>
      <c r="C67" s="4">
        <v>0</v>
      </c>
    </row>
    <row r="68" spans="2:3" ht="20" customHeight="1" x14ac:dyDescent="0.2">
      <c r="B68" s="3" t="s">
        <v>38</v>
      </c>
      <c r="C68" s="4">
        <v>0</v>
      </c>
    </row>
    <row r="69" spans="2:3" ht="20" customHeight="1" x14ac:dyDescent="0.2">
      <c r="B69" s="3" t="s">
        <v>38</v>
      </c>
      <c r="C69" s="4">
        <v>0</v>
      </c>
    </row>
    <row r="70" spans="2:3" ht="20" customHeight="1" x14ac:dyDescent="0.2">
      <c r="B70" s="3" t="s">
        <v>38</v>
      </c>
      <c r="C70" s="4">
        <v>0</v>
      </c>
    </row>
    <row r="71" spans="2:3" ht="20" customHeight="1" x14ac:dyDescent="0.2">
      <c r="B71" s="3" t="s">
        <v>38</v>
      </c>
      <c r="C71" s="4">
        <v>0</v>
      </c>
    </row>
    <row r="72" spans="2:3" ht="20" customHeight="1" x14ac:dyDescent="0.2">
      <c r="B72" s="3" t="s">
        <v>38</v>
      </c>
      <c r="C72" s="4">
        <v>0</v>
      </c>
    </row>
    <row r="73" spans="2:3" ht="20" customHeight="1" x14ac:dyDescent="0.2">
      <c r="B73" s="3" t="s">
        <v>38</v>
      </c>
      <c r="C73" s="4">
        <v>0</v>
      </c>
    </row>
    <row r="74" spans="2:3" ht="20" customHeight="1" x14ac:dyDescent="0.2">
      <c r="B74" s="3" t="s">
        <v>38</v>
      </c>
      <c r="C74" s="4">
        <v>0</v>
      </c>
    </row>
    <row r="75" spans="2:3" ht="20" customHeight="1" x14ac:dyDescent="0.2">
      <c r="B75" s="3" t="s">
        <v>38</v>
      </c>
      <c r="C75" s="4">
        <v>0</v>
      </c>
    </row>
    <row r="76" spans="2:3" ht="20" customHeight="1" x14ac:dyDescent="0.2">
      <c r="B76" s="3" t="s">
        <v>38</v>
      </c>
      <c r="C76" s="4">
        <v>0</v>
      </c>
    </row>
    <row r="77" spans="2:3" ht="20" customHeight="1" x14ac:dyDescent="0.2">
      <c r="B77" s="3" t="s">
        <v>38</v>
      </c>
      <c r="C77" s="4">
        <v>0</v>
      </c>
    </row>
    <row r="78" spans="2:3" ht="20" customHeight="1" x14ac:dyDescent="0.2">
      <c r="B78" s="3" t="s">
        <v>38</v>
      </c>
      <c r="C78" s="4">
        <v>0</v>
      </c>
    </row>
    <row r="79" spans="2:3" ht="20" customHeight="1" x14ac:dyDescent="0.2">
      <c r="B79" s="3" t="s">
        <v>38</v>
      </c>
      <c r="C79" s="4">
        <v>0</v>
      </c>
    </row>
    <row r="80" spans="2:3" ht="20" customHeight="1" x14ac:dyDescent="0.2">
      <c r="B80" s="3" t="s">
        <v>38</v>
      </c>
      <c r="C80" s="4">
        <v>0</v>
      </c>
    </row>
    <row r="81" spans="2:3" ht="20" customHeight="1" x14ac:dyDescent="0.2">
      <c r="B81" s="3" t="s">
        <v>38</v>
      </c>
      <c r="C81" s="4">
        <v>0</v>
      </c>
    </row>
    <row r="82" spans="2:3" ht="20" customHeight="1" x14ac:dyDescent="0.2">
      <c r="B82" s="3" t="s">
        <v>38</v>
      </c>
      <c r="C82" s="4">
        <v>0</v>
      </c>
    </row>
    <row r="83" spans="2:3" ht="20" customHeight="1" x14ac:dyDescent="0.2">
      <c r="B83" s="3" t="s">
        <v>38</v>
      </c>
      <c r="C83" s="4">
        <v>0</v>
      </c>
    </row>
    <row r="84" spans="2:3" ht="20" customHeight="1" x14ac:dyDescent="0.2">
      <c r="B84" s="3" t="s">
        <v>38</v>
      </c>
      <c r="C84" s="4">
        <v>0</v>
      </c>
    </row>
    <row r="85" spans="2:3" ht="20" customHeight="1" x14ac:dyDescent="0.2">
      <c r="B85" s="3" t="s">
        <v>38</v>
      </c>
      <c r="C85" s="4">
        <v>0</v>
      </c>
    </row>
    <row r="86" spans="2:3" ht="20" customHeight="1" x14ac:dyDescent="0.2">
      <c r="B86" s="3" t="s">
        <v>38</v>
      </c>
      <c r="C86" s="4">
        <v>0</v>
      </c>
    </row>
    <row r="87" spans="2:3" ht="20" customHeight="1" x14ac:dyDescent="0.2">
      <c r="B87" s="3" t="s">
        <v>38</v>
      </c>
      <c r="C87" s="4">
        <v>0</v>
      </c>
    </row>
    <row r="88" spans="2:3" ht="20" customHeight="1" x14ac:dyDescent="0.2">
      <c r="B88" s="3" t="s">
        <v>38</v>
      </c>
      <c r="C88" s="4">
        <v>0</v>
      </c>
    </row>
    <row r="89" spans="2:3" ht="20" customHeight="1" x14ac:dyDescent="0.2">
      <c r="B89" s="3" t="s">
        <v>38</v>
      </c>
      <c r="C89" s="4">
        <v>0</v>
      </c>
    </row>
    <row r="90" spans="2:3" ht="20" customHeight="1" x14ac:dyDescent="0.2">
      <c r="B90" s="3" t="s">
        <v>38</v>
      </c>
      <c r="C90" s="4">
        <v>0</v>
      </c>
    </row>
    <row r="91" spans="2:3" ht="20" customHeight="1" x14ac:dyDescent="0.2">
      <c r="B91" s="3" t="s">
        <v>38</v>
      </c>
      <c r="C91" s="4">
        <v>0</v>
      </c>
    </row>
    <row r="92" spans="2:3" ht="20" customHeight="1" x14ac:dyDescent="0.2">
      <c r="B92" s="3" t="s">
        <v>38</v>
      </c>
      <c r="C92" s="4">
        <v>0</v>
      </c>
    </row>
    <row r="93" spans="2:3" ht="20" customHeight="1" x14ac:dyDescent="0.2">
      <c r="B93" s="3" t="s">
        <v>38</v>
      </c>
      <c r="C93" s="4">
        <v>0</v>
      </c>
    </row>
    <row r="94" spans="2:3" ht="20" customHeight="1" x14ac:dyDescent="0.2">
      <c r="B94" s="3" t="s">
        <v>38</v>
      </c>
      <c r="C94" s="4">
        <v>0</v>
      </c>
    </row>
    <row r="95" spans="2:3" ht="20" customHeight="1" x14ac:dyDescent="0.2">
      <c r="B95" s="3" t="s">
        <v>38</v>
      </c>
      <c r="C95" s="4">
        <v>0</v>
      </c>
    </row>
    <row r="96" spans="2:3" ht="20" customHeight="1" x14ac:dyDescent="0.2">
      <c r="B96" s="3" t="s">
        <v>38</v>
      </c>
      <c r="C96" s="4">
        <v>0</v>
      </c>
    </row>
    <row r="97" spans="2:3" ht="20" customHeight="1" x14ac:dyDescent="0.2">
      <c r="B97" s="3" t="s">
        <v>38</v>
      </c>
      <c r="C97" s="4">
        <v>0</v>
      </c>
    </row>
    <row r="98" spans="2:3" ht="20" customHeight="1" x14ac:dyDescent="0.2">
      <c r="B98" s="3" t="s">
        <v>38</v>
      </c>
      <c r="C98" s="4">
        <v>0</v>
      </c>
    </row>
    <row r="99" spans="2:3" ht="20" customHeight="1" x14ac:dyDescent="0.2">
      <c r="B99" s="3" t="s">
        <v>38</v>
      </c>
      <c r="C99" s="4">
        <v>0</v>
      </c>
    </row>
    <row r="100" spans="2:3" ht="20" customHeight="1" x14ac:dyDescent="0.2">
      <c r="B100" s="3" t="s">
        <v>38</v>
      </c>
      <c r="C100" s="4">
        <v>0</v>
      </c>
    </row>
    <row r="101" spans="2:3" ht="20" customHeight="1" x14ac:dyDescent="0.2"/>
    <row r="102" spans="2:3" ht="20" customHeight="1" x14ac:dyDescent="0.2"/>
    <row r="103" spans="2:3" ht="20" customHeight="1" x14ac:dyDescent="0.2"/>
    <row r="104" spans="2:3" ht="20" customHeight="1" x14ac:dyDescent="0.2"/>
    <row r="105" spans="2:3" ht="20" customHeight="1" x14ac:dyDescent="0.2"/>
  </sheetData>
  <dataValidations count="12">
    <dataValidation allowBlank="1" showInputMessage="1" showErrorMessage="1" prompt="Arbeidstimer beregnes automatisk i kolonnen under denne overskriften" sqref="C5:D5" xr:uid="{2CCCD603-41C1-4534-9AB5-529D56B0A687}"/>
    <dataValidation allowBlank="1" showInputMessage="1" showErrorMessage="1" prompt="Skriv inn dato i kolonnen under denne overskriften. Bruk overskriftsfiltre til å finne bestemte oppføringer" sqref="B5" xr:uid="{E85B5802-22FC-466C-9CA3-8C48DBE37D07}"/>
    <dataValidation allowBlank="1" showInputMessage="1" showErrorMessage="1" prompt="Totalt antall arbeidstimer beregnes automatisk i denne cellen" sqref="C4" xr:uid="{4827F8EC-2D52-4012-B967-30D0B8C368D8}"/>
    <dataValidation allowBlank="1" showInputMessage="1" showErrorMessage="1" prompt="Skriv inn totale arbeidstimer for uken i denne cellen" sqref="B4" xr:uid="{BDBA69A5-AF0D-4857-942D-85C676FCF2A4}"/>
    <dataValidation allowBlank="1" showInputMessage="1" showErrorMessage="1" prompt="Totale arbeidstimer beregnes automatisk i cellen nedenfor" sqref="C3" xr:uid="{37774D71-01F8-46ED-A129-3EB56B0E5D02}"/>
    <dataValidation allowBlank="1" showInputMessage="1" showErrorMessage="1" prompt="Skriv inn totalt antall arbeidstimer uke i cellen under" sqref="B3" xr:uid="{BDD187BF-B5C4-42DF-99D9-FF959D20FEB2}"/>
    <dataValidation allowBlank="1" showInputMessage="1" showErrorMessage="1" prompt="Skriv inn den ansattes e-postadresse i denne cellen" sqref="C2" xr:uid="{979D2853-5461-4CF6-9796-5EE2A8B13E70}"/>
    <dataValidation allowBlank="1" showInputMessage="1" showErrorMessage="1" prompt="Skriv inn den ansattes navn i denne cellen" sqref="B2" xr:uid="{5BC178B5-4CF3-4E08-9273-777F7E3700F7}"/>
    <dataValidation allowBlank="1" showInputMessage="1" showErrorMessage="1" prompt="Tittelen på regnearket vises i denne cellen.  Skriv inn detaljer om den ansatte og leder i cellene under" sqref="B1" xr:uid="{2CA5CEB2-5BE0-4095-BB78-BC04A8C6D271}"/>
    <dataValidation allowBlank="1" showInputMessage="1" showErrorMessage="1" prompt="Bruk dette regnearket til å spore antall arbeidstimer i en arbeidsuke. Skriv inn dato og klokkeslett i Timeliste-tabellen. Totalt antall timer, ordinære timer og overtidstimer blir automatisk kalkulert i rad 6" sqref="A1" xr:uid="{4EF663D8-3E97-434F-BB46-2D0D3A01CFA5}"/>
    <dataValidation allowBlank="1" showErrorMessage="1" sqref="C1:XFD1 A2:A1048576 E101:E1048576 B60:C1048576 D2:E4 D18:D20 B24:D25 D28:D53 D56:D57 B59:D59 D61:D1048576 D6:D16 B6:C23 B26:C58 F2:G1048576 H16:H1048576 H2:H5 I2:XFD1048576" xr:uid="{FFD5D462-7E8D-4CA4-BF58-23CFE5AF0F59}"/>
    <dataValidation type="list" showDropDown="1" showInputMessage="1" showErrorMessage="1" sqref="E5" xr:uid="{D4C4A0B8-9312-42E6-A07A-4C8222368970}">
      <formula1>$H$6:$H$14</formula1>
    </dataValidation>
  </dataValidations>
  <pageMargins left="0.4" right="0.4" top="0.4" bottom="0.4" header="0.3" footer="0.3"/>
  <pageSetup paperSize="9" fitToHeight="0" orientation="landscape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D11391-887C-4FDD-854D-E0327BF75A02}">
          <x14:formula1>
            <xm:f>DroppdownTable!$B$2:$B$11</xm:f>
          </x14:formula1>
          <xm:sqref>E6:E100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5944-E37A-4B5E-8F1A-138504CB49CF}">
  <sheetPr>
    <tabColor rgb="FF00B050"/>
    <pageSetUpPr fitToPage="1"/>
  </sheetPr>
  <dimension ref="A1:B8"/>
  <sheetViews>
    <sheetView showGridLines="0" zoomScale="83" zoomScaleNormal="60" zoomScaleSheetLayoutView="100" workbookViewId="0">
      <selection activeCell="B2" sqref="B2"/>
    </sheetView>
  </sheetViews>
  <sheetFormatPr baseColWidth="10" defaultColWidth="8.5" defaultRowHeight="15" x14ac:dyDescent="0.2"/>
  <cols>
    <col min="1" max="1" width="47.33203125" bestFit="1" customWidth="1"/>
    <col min="2" max="2" width="13.6640625" bestFit="1" customWidth="1"/>
  </cols>
  <sheetData>
    <row r="1" spans="1:2" ht="39" thickTop="1" thickBot="1" x14ac:dyDescent="0.5">
      <c r="A1" s="8" t="s">
        <v>1</v>
      </c>
      <c r="B1" s="8" t="s">
        <v>87</v>
      </c>
    </row>
    <row r="2" spans="1:2" ht="28" thickTop="1" thickBot="1" x14ac:dyDescent="0.35">
      <c r="A2" s="16" t="str">
        <f>KolonnetittelOmråde1..E6.1</f>
        <v>Jimmy Bui</v>
      </c>
      <c r="B2" s="16">
        <f>'Gruppemedlem 1'!C4</f>
        <v>116.6</v>
      </c>
    </row>
    <row r="3" spans="1:2" ht="28" thickTop="1" thickBot="1" x14ac:dyDescent="0.35">
      <c r="A3" s="16" t="str">
        <f>'Gruppemedlem 2'!B3</f>
        <v>Philip André Gaulin</v>
      </c>
      <c r="B3" s="16">
        <f>'Gruppemedlem 2'!C4</f>
        <v>201.25</v>
      </c>
    </row>
    <row r="4" spans="1:2" ht="28" thickTop="1" thickBot="1" x14ac:dyDescent="0.35">
      <c r="A4" s="16" t="str">
        <f>'Gruppemedlem 3'!B3</f>
        <v>Simen Kingsrød</v>
      </c>
      <c r="B4" s="16">
        <f>'Gruppemedlem 3'!C4</f>
        <v>76.8</v>
      </c>
    </row>
    <row r="5" spans="1:2" ht="28" thickTop="1" thickBot="1" x14ac:dyDescent="0.35">
      <c r="A5" s="16" t="str">
        <f>'Gruppemedlem 4'!B3</f>
        <v>Erica Bich Che</v>
      </c>
      <c r="B5" s="16">
        <f>'Gruppemedlem 4'!C4</f>
        <v>188.5</v>
      </c>
    </row>
    <row r="6" spans="1:2" ht="28" thickTop="1" thickBot="1" x14ac:dyDescent="0.35">
      <c r="A6" s="17" t="str">
        <f>'Gruppemedlem 5'!B3</f>
        <v>Mohamed Abdullahi Mahamed</v>
      </c>
      <c r="B6" s="17">
        <f>'Gruppemedlem 5'!C4</f>
        <v>69</v>
      </c>
    </row>
    <row r="7" spans="1:2" ht="39" thickTop="1" thickBot="1" x14ac:dyDescent="0.5">
      <c r="A7" s="10" t="s">
        <v>88</v>
      </c>
      <c r="B7" s="9">
        <f>SUM(B2:B6)</f>
        <v>652.15000000000009</v>
      </c>
    </row>
    <row r="8" spans="1:2" ht="16" thickTop="1" x14ac:dyDescent="0.2"/>
  </sheetData>
  <pageMargins left="0.4" right="0.4" top="0.4" bottom="0.4" header="0.3" footer="0.3"/>
  <pageSetup paperSize="9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6629-EE99-4025-A86E-941ADB935A39}">
  <dimension ref="B2:B11"/>
  <sheetViews>
    <sheetView workbookViewId="0">
      <selection activeCell="D21" sqref="D21"/>
    </sheetView>
  </sheetViews>
  <sheetFormatPr baseColWidth="10" defaultColWidth="9.1640625" defaultRowHeight="15" x14ac:dyDescent="0.2"/>
  <cols>
    <col min="2" max="2" width="14.83203125" bestFit="1" customWidth="1"/>
    <col min="3" max="3" width="18.6640625" customWidth="1"/>
    <col min="4" max="4" width="5.83203125" bestFit="1" customWidth="1"/>
  </cols>
  <sheetData>
    <row r="2" spans="2:2" x14ac:dyDescent="0.2">
      <c r="B2" s="15" t="s">
        <v>13</v>
      </c>
    </row>
    <row r="3" spans="2:2" x14ac:dyDescent="0.2">
      <c r="B3" s="18" t="s">
        <v>14</v>
      </c>
    </row>
    <row r="4" spans="2:2" x14ac:dyDescent="0.2">
      <c r="B4" s="19" t="s">
        <v>15</v>
      </c>
    </row>
    <row r="5" spans="2:2" x14ac:dyDescent="0.2">
      <c r="B5" s="11" t="s">
        <v>16</v>
      </c>
    </row>
    <row r="6" spans="2:2" x14ac:dyDescent="0.2">
      <c r="B6" s="20" t="s">
        <v>17</v>
      </c>
    </row>
    <row r="7" spans="2:2" x14ac:dyDescent="0.2">
      <c r="B7" s="12" t="s">
        <v>18</v>
      </c>
    </row>
    <row r="8" spans="2:2" x14ac:dyDescent="0.2">
      <c r="B8" s="13" t="s">
        <v>12</v>
      </c>
    </row>
    <row r="9" spans="2:2" x14ac:dyDescent="0.2">
      <c r="B9" s="21" t="s">
        <v>19</v>
      </c>
    </row>
    <row r="10" spans="2:2" x14ac:dyDescent="0.2">
      <c r="B10" s="14" t="s">
        <v>20</v>
      </c>
    </row>
    <row r="11" spans="2:2" x14ac:dyDescent="0.2">
      <c r="B11" t="s">
        <v>21</v>
      </c>
    </row>
  </sheetData>
  <dataValidations count="1">
    <dataValidation allowBlank="1" showInputMessage="1" showErrorMessage="1" sqref="C2" xr:uid="{483485C9-CDEC-439A-B039-17818DBE4BE4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92E726-23D7-4616-92A9-46F774B5D86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3221735-26b9-4eac-ad0f-4721757a50f8}" enabled="0" method="" siteId="{e3221735-26b9-4eac-ad0f-4721757a50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TM16390868</Template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7</vt:i4>
      </vt:variant>
      <vt:variant>
        <vt:lpstr>Navngitte områder</vt:lpstr>
      </vt:variant>
      <vt:variant>
        <vt:i4>3</vt:i4>
      </vt:variant>
    </vt:vector>
  </HeadingPairs>
  <TitlesOfParts>
    <vt:vector size="10" baseType="lpstr">
      <vt:lpstr>Gruppemedlem 1</vt:lpstr>
      <vt:lpstr>Gruppemedlem 2</vt:lpstr>
      <vt:lpstr>Gruppemedlem 3</vt:lpstr>
      <vt:lpstr>Gruppemedlem 4</vt:lpstr>
      <vt:lpstr>Gruppemedlem 5</vt:lpstr>
      <vt:lpstr>Total</vt:lpstr>
      <vt:lpstr>DroppdownTable</vt:lpstr>
      <vt:lpstr>ArbeidsukeTimer</vt:lpstr>
      <vt:lpstr>KolonnetittelOmråde1..E6.1</vt:lpstr>
      <vt:lpstr>'Gruppemedlem 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2018-06-08T08:43:59Z</dcterms:created>
  <dcterms:modified xsi:type="dcterms:W3CDTF">2025-11-21T22:19:52Z</dcterms:modified>
  <cp:category/>
  <cp:contentStatus/>
</cp:coreProperties>
</file>